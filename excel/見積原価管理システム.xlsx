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6E536847-8EF7-FB47-BA67-2EB8B66BD1E5}" xr6:coauthVersionLast="47" xr6:coauthVersionMax="47" xr10:uidLastSave="{00000000-0000-0000-0000-000000000000}"/>
  <bookViews>
    <workbookView xWindow="17100" yWindow="780" windowWidth="17100" windowHeight="21460" firstSheet="5" activeTab="7"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 name="領収書" sheetId="46" r:id="rId45"/>
  </sheets>
  <externalReferences>
    <externalReference r:id="rId46"/>
    <externalReference r:id="rId47"/>
    <externalReference r:id="rId48"/>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 name="_xlnm.Print_Area" localSheetId="44">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46" l="1"/>
  <c r="D20" i="46"/>
  <c r="D19" i="46"/>
  <c r="D18" i="46"/>
  <c r="D17" i="46"/>
  <c r="D12" i="46"/>
  <c r="D10" i="46"/>
  <c r="H8" i="46"/>
  <c r="B7" i="46"/>
  <c r="H3" i="46"/>
  <c r="J5" i="46"/>
  <c r="J4" i="46"/>
  <c r="J3" i="46"/>
  <c r="K28" i="31"/>
  <c r="K27" i="31"/>
  <c r="I55" i="5"/>
  <c r="I54" i="5"/>
  <c r="I53" i="5"/>
  <c r="I52" i="5"/>
  <c r="I51" i="5"/>
  <c r="I50" i="5"/>
  <c r="I49" i="5"/>
  <c r="I48" i="5"/>
  <c r="I47" i="5"/>
  <c r="I46" i="5"/>
  <c r="I45" i="5"/>
  <c r="I44" i="5"/>
  <c r="I43" i="5"/>
  <c r="I42" i="5"/>
  <c r="I41" i="5"/>
  <c r="I40" i="5"/>
  <c r="I39" i="5"/>
  <c r="I38" i="5"/>
  <c r="I37" i="5"/>
  <c r="I36" i="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G85" i="36" a="1"/>
  <c r="G85" i="36" s="1"/>
  <c r="F85" i="36" a="1"/>
  <c r="F85" i="36" s="1"/>
  <c r="E85" i="36" a="1"/>
  <c r="E85" i="36" s="1"/>
  <c r="D85" i="36" a="1"/>
  <c r="D85" i="36" s="1"/>
  <c r="C85" i="36" a="1"/>
  <c r="C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J7" i="45"/>
  <c r="K7" i="45" s="1"/>
  <c r="D7" i="45"/>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D7" i="44"/>
  <c r="C7" i="44"/>
  <c r="A7" i="44"/>
  <c r="J6" i="44"/>
  <c r="K6" i="44" s="1"/>
  <c r="D6" i="44"/>
  <c r="C6" i="44"/>
  <c r="A6" i="44"/>
  <c r="J5" i="44"/>
  <c r="K5" i="44" s="1"/>
  <c r="D5" i="44"/>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B66" i="36" a="1"/>
  <c r="B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B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C1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M8" i="34"/>
  <c r="L8" i="34"/>
  <c r="M7" i="34"/>
  <c r="L7" i="34"/>
  <c r="M6" i="34"/>
  <c r="L6" i="34"/>
  <c r="L5"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K6" i="35"/>
  <c r="L6" i="35" s="1"/>
  <c r="H6" i="35"/>
  <c r="C6" i="35"/>
  <c r="K5" i="35"/>
  <c r="L5" i="35" s="1"/>
  <c r="H5" i="35"/>
  <c r="C5" i="35"/>
  <c r="C25" i="31"/>
  <c r="AP39" i="28"/>
  <c r="AP35" i="28"/>
  <c r="AP21" i="28"/>
  <c r="AP19" i="28"/>
  <c r="AP17" i="28"/>
  <c r="AP15" i="28"/>
  <c r="K8" i="28"/>
  <c r="K7" i="28"/>
  <c r="B4" i="28"/>
  <c r="G56" i="36" l="1"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M5" i="34"/>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<sst xmlns="http://schemas.openxmlformats.org/spreadsheetml/2006/main" count="3751" uniqueCount="1947">
  <si>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</si>
  <si>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</si>
  <si>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</si>
  <si>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</si>
  <si>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</si>
  <si>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</si>
  <si>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</si>
  <si>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</si>
  <si>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</si>
  <si>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</si>
  <si>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</si>
  <si>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</si>
  <si>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</si>
  <si>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</si>
  <si>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</si>
  <si>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</si>
  <si>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</si>
  <si>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</si>
  <si>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</si>
  <si>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</si>
  <si>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</si>
  <si>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</si>
  <si>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</si>
  <si>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</si>
  <si>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</si>
  <si>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</si>
  <si>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</si>
  <si>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</si>
  <si>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</si>
  <si>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</si>
  <si>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</si>
  <si>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</si>
  <si>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</si>
  <si>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</si>
  <si>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</si>
  <si>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</si>
  <si>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</si>
  <si>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</si>
  <si>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</si>
  <si>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</si>
  <si>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</si>
  <si>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</si>
  <si>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</si>
  <si>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</si>
  <si>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</si>
  <si>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</si>
  <si>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</si>
  <si>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</si>
  <si>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</si>
  <si>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</si>
  <si>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</si>
  <si>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</si>
  <si>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</si>
  <si>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</si>
  <si>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</si>
  <si>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</si>
  <si>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</si>
  <si>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</si>
  <si>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</si>
  <si>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</si>
  <si>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</si>
  <si>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</si>
  <si>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</si>
  <si>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</si>
  <si>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</si>
  <si>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</si>
  <si>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</si>
  <si>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</si>
  <si>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</si>
  <si>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</si>
  <si>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</si>
  <si>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</si>
  <si>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</si>
  <si>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</si>
  <si>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</si>
  <si>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</si>
  <si>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</si>
  <si>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</si>
  <si>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</si>
  <si>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</si>
  <si>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</si>
  <si>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</si>
  <si>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</si>
  <si>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</si>
  <si>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</si>
  <si>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</si>
  <si>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</si>
  <si>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</si>
  <si>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</si>
  <si>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</si>
  <si>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</si>
  <si>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</si>
  <si>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</si>
  <si>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</si>
  <si>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</si>
  <si>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</si>
  <si>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</si>
  <si>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</si>
  <si>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</si>
  <si>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</si>
  <si>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</si>
  <si>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</si>
  <si>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</si>
  <si>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</si>
  <si>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</si>
  <si>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</si>
  <si>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</si>
  <si>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</si>
  <si>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</si>
  <si>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</si>
  <si>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</si>
  <si>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</si>
  <si>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</si>
  <si>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</si>
  <si>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</si>
  <si>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</si>
  <si>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</si>
  <si>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</si>
  <si>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</si>
  <si>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</si>
  <si>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</si>
  <si>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</si>
  <si>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</si>
  <si>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</si>
  <si>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</si>
  <si>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</si>
  <si>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</si>
  <si>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</si>
  <si>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</si>
  <si>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</si>
  <si>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</si>
  <si>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</si>
  <si>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</si>
  <si>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</si>
  <si>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</si>
  <si>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</si>
  <si>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</si>
  <si>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</si>
  <si>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</si>
  <si>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</si>
  <si>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</si>
  <si>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</si>
  <si>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</si>
  <si>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</si>
  <si>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</si>
  <si>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</si>
  <si>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</si>
  <si>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</si>
  <si>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</si>
  <si>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</si>
  <si>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</si>
  <si>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</si>
  <si>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</si>
  <si>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</si>
  <si>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</si>
  <si>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</si>
  <si>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</si>
  <si>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</si>
  <si>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</si>
  <si>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</si>
  <si>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</si>
  <si>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</si>
  <si>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</si>
  <si>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</si>
  <si>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</si>
  <si>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</si>
  <si>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</si>
  <si>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</si>
  <si>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</si>
  <si>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</si>
  <si>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</si>
  <si>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</si>
  <si>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</si>
  <si>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</si>
  <si>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</si>
  <si>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</si>
  <si>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</si>
  <si>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</si>
  <si>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</si>
  <si>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</si>
  <si>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</si>
  <si>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</si>
  <si>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</si>
  <si>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</si>
  <si>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</si>
  <si>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</si>
  <si>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</si>
  <si>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</si>
  <si>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</si>
  <si>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</si>
  <si>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</si>
  <si>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</si>
  <si>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</si>
  <si>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</si>
  <si>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</si>
  <si>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</si>
  <si>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</si>
  <si>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</si>
  <si>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</si>
  <si>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</si>
  <si>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</si>
  <si>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</si>
  <si>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</si>
  <si>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</si>
  <si>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</si>
  <si>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</si>
  <si>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</si>
  <si>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</si>
  <si>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</si>
  <si>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</si>
  <si>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</si>
  <si>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</si>
  <si>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</si>
  <si>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</si>
  <si>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</si>
  <si>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</si>
  <si>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</si>
  <si>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</si>
  <si>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</si>
  <si>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</si>
  <si>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</si>
  <si>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</si>
  <si>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</si>
  <si>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</si>
  <si>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</si>
  <si>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</si>
  <si>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</si>
  <si>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</si>
  <si>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</si>
  <si>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</si>
  <si>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</si>
  <si>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</si>
  <si>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</si>
  <si>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</si>
  <si>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</si>
  <si>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</si>
  <si>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</si>
  <si>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</si>
  <si>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</si>
  <si>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</si>
  <si>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</si>
  <si>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</si>
  <si>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</si>
  <si>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</si>
  <si>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</si>
  <si>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</si>
  <si>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</si>
  <si>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</si>
  <si>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</si>
  <si>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</si>
  <si>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</si>
  <si>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</si>
  <si>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</si>
  <si>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</si>
  <si>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</si>
  <si>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</si>
  <si>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</si>
  <si>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</si>
  <si>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</si>
  <si>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</si>
  <si>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</si>
  <si>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</si>
  <si>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</si>
  <si>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</si>
  <si>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</si>
  <si>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</si>
  <si>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</si>
  <si>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</si>
  <si>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</si>
  <si>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</si>
  <si>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</si>
  <si>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</si>
  <si>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</si>
  <si>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</si>
  <si>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</si>
  <si>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</si>
  <si>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</si>
  <si>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</si>
  <si>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</si>
  <si>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</si>
  <si>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</si>
  <si>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</si>
  <si>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</si>
  <si>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</si>
  <si>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</si>
  <si>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</si>
  <si>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</si>
  <si>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</si>
  <si>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</si>
  <si>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</si>
  <si>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</si>
  <si>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</si>
  <si>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</si>
  <si>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</si>
  <si>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</si>
  <si>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</si>
  <si>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</si>
  <si>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</si>
  <si>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</si>
  <si>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</si>
  <si>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</si>
  <si>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</si>
  <si>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</si>
  <si>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</si>
  <si>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</si>
  <si>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</si>
  <si>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</si>
  <si>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</si>
  <si>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</si>
  <si>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</si>
  <si>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</si>
  <si>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</si>
  <si>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</si>
  <si>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</si>
  <si>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</si>
  <si>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</si>
  <si>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</si>
  <si>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</si>
  <si>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</si>
  <si>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</si>
  <si>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</si>
  <si>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</si>
  <si>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</si>
  <si>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</si>
  <si>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</si>
  <si>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</si>
  <si>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</si>
  <si>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</si>
  <si>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</si>
  <si>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</si>
  <si>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</si>
  <si>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</si>
  <si>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</si>
  <si>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</si>
  <si>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</si>
  <si>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</si>
  <si>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</si>
  <si>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</si>
  <si>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</si>
  <si>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</si>
  <si>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</si>
  <si>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</si>
  <si>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</si>
  <si>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</si>
  <si>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</si>
  <si>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</si>
  <si>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</si>
  <si>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</si>
  <si>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</si>
  <si>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</si>
  <si>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</si>
  <si>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</si>
  <si>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</si>
  <si>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</si>
  <si>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</si>
  <si>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</si>
  <si>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</si>
  <si>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</si>
  <si>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</si>
  <si>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</si>
  <si>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</si>
  <si>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</si>
  <si>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</si>
  <si>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</si>
  <si>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</si>
  <si>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</si>
  <si>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</si>
  <si>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</si>
  <si>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</si>
  <si>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</si>
  <si>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</si>
  <si>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</si>
  <si>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</si>
  <si>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</si>
  <si>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</si>
  <si>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</si>
  <si>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</si>
  <si>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</si>
  <si>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</si>
  <si>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</si>
  <si>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</si>
  <si>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</si>
  <si>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</si>
  <si>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</si>
  <si>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</si>
  <si>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</si>
  <si>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</si>
  <si>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</si>
  <si>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</si>
  <si>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</si>
  <si>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</si>
  <si>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</si>
  <si>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</si>
  <si>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</si>
  <si>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</si>
  <si>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</si>
  <si>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</si>
  <si>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</si>
  <si>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</si>
  <si>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</si>
  <si>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</si>
  <si>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</si>
  <si>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</si>
  <si>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</si>
  <si>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</si>
  <si>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</si>
  <si>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</si>
  <si>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</si>
  <si>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</si>
  <si>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</si>
  <si>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</si>
  <si>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</si>
  <si>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</si>
  <si>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</si>
  <si>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</si>
  <si>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</si>
  <si>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</si>
  <si>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</si>
  <si>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</si>
  <si>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</si>
  <si>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</si>
  <si>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</si>
  <si>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</si>
  <si>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</si>
  <si>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</si>
  <si>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</si>
  <si>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</si>
  <si>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</si>
  <si>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</si>
  <si>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</si>
  <si>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</si>
  <si>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</si>
  <si>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</si>
  <si>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</si>
  <si>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</si>
  <si>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</si>
  <si>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</si>
  <si>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</si>
  <si>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</si>
  <si>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</si>
  <si>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</si>
  <si>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</si>
  <si>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</si>
  <si>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</si>
  <si>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</si>
  <si>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</si>
  <si>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</si>
  <si>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</si>
  <si>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</si>
  <si>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</si>
  <si>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</si>
  <si>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</si>
  <si>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</si>
  <si>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</si>
  <si>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</si>
  <si>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</si>
  <si>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</si>
  <si>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</si>
  <si>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</si>
  <si>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</si>
  <si>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</si>
  <si>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</si>
  <si>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</si>
  <si>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</si>
  <si>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</si>
  <si>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</si>
  <si>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</si>
  <si>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</si>
  <si>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</si>
  <si>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</si>
  <si>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</si>
  <si>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</si>
  <si>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</si>
  <si>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</si>
  <si>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</si>
  <si>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</si>
  <si>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</si>
  <si>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</si>
  <si>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</si>
  <si>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</si>
  <si>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</si>
  <si>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</si>
  <si>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</si>
  <si>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</si>
  <si>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</si>
  <si>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</si>
  <si>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</si>
  <si>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</si>
  <si>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</si>
  <si>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</si>
  <si>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</si>
  <si>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</si>
  <si>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</si>
  <si>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</si>
  <si>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</si>
  <si>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</si>
  <si>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</si>
  <si>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</si>
  <si>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</si>
  <si>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</si>
  <si>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</si>
  <si>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</si>
  <si>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</si>
  <si>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</si>
  <si>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</si>
  <si>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</si>
  <si>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</si>
  <si>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</si>
  <si>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</si>
  <si>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</si>
  <si>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</si>
  <si>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</si>
  <si>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</si>
  <si>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</si>
  <si>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</si>
  <si>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</si>
  <si>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</si>
  <si>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</si>
  <si>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</si>
  <si>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</si>
  <si>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</si>
  <si>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</si>
  <si>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</si>
  <si>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</si>
  <si>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</si>
  <si>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</si>
  <si>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</si>
  <si>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</si>
  <si>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</si>
  <si>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</si>
  <si>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</si>
  <si>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</si>
  <si>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</si>
  <si>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</si>
  <si>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</si>
  <si>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</si>
  <si>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</si>
  <si>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</si>
  <si>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</si>
  <si>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</si>
  <si>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</si>
  <si>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</si>
  <si>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</si>
  <si>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</si>
  <si>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</si>
  <si>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</si>
  <si>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</si>
  <si>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</si>
  <si>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</si>
  <si>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</si>
  <si>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</si>
  <si>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</si>
  <si>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</si>
  <si>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</si>
  <si>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</si>
  <si>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</si>
  <si>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</si>
  <si>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</si>
  <si>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</si>
  <si>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</si>
  <si>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吉野</t>
  </si>
  <si>
    <t>アクティブ</t>
  </si>
  <si>
    <t>南麻布レジデンス案件</t>
  </si>
  <si>
    <t>C-002</t>
  </si>
  <si>
    <t>法人</t>
  </si>
  <si>
    <t>株式会社　figaro</t>
  </si>
  <si>
    <t>御中</t>
  </si>
  <si>
    <t>請求書発行済み</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</si>
  <si>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</si>
  <si>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</si>
  <si>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</si>
  <si>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</si>
  <si>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</si>
  <si>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</si>
  <si>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</si>
  <si>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</si>
  <si>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</si>
  <si>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</si>
  <si>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</si>
  <si>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</si>
  <si>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</si>
  <si>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</si>
  <si>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</si>
  <si>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</si>
  <si>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</si>
  <si>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</si>
  <si>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</si>
  <si>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</si>
  <si>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</si>
  <si>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</si>
  <si>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</si>
  <si>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</si>
  <si>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</si>
  <si>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</si>
  <si>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</si>
  <si>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</si>
  <si>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</si>
  <si>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</si>
  <si>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</si>
  <si>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</si>
  <si>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</si>
  <si>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</si>
  <si>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</si>
  <si>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</si>
  <si>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</si>
  <si>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</si>
  <si>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</si>
  <si>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</si>
  <si>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</si>
  <si>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</si>
  <si>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</si>
  <si>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</si>
  <si>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</si>
  <si>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</si>
  <si>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</si>
  <si>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</si>
  <si>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</si>
  <si>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</si>
  <si>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</si>
  <si>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</si>
  <si>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</si>
  <si>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</si>
  <si>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</si>
  <si>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</si>
  <si>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</si>
  <si>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</si>
  <si>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</si>
  <si>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</si>
  <si>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</si>
  <si>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</si>
  <si>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</si>
  <si>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</si>
  <si>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</si>
  <si>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</si>
  <si>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</si>
  <si>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</si>
  <si>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</si>
  <si>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</si>
  <si>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</si>
  <si>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</si>
  <si>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</si>
  <si>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</si>
  <si>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</si>
  <si>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</si>
  <si>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</si>
  <si>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</si>
  <si>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</si>
  <si>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</si>
  <si>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</si>
  <si>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</si>
  <si>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</si>
  <si>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</si>
  <si>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</si>
  <si>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</si>
  <si>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</si>
  <si>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</si>
  <si>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</si>
  <si>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</si>
  <si>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</si>
  <si>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</si>
  <si>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</si>
  <si>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</si>
  <si>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</si>
  <si>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</si>
  <si>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</si>
  <si>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</si>
  <si>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</si>
  <si>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</si>
  <si>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</si>
  <si>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</si>
  <si>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</si>
  <si>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</si>
  <si>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</si>
  <si>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</si>
  <si>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</si>
  <si>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</si>
  <si>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</si>
  <si>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</si>
  <si>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</si>
  <si>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</si>
  <si>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</si>
  <si>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</si>
  <si>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</si>
  <si>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</si>
  <si>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</si>
  <si>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</si>
  <si>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</si>
  <si>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</si>
  <si>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</si>
  <si>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</si>
  <si>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</si>
  <si>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</si>
  <si>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</si>
  <si>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</si>
  <si>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</si>
  <si>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</si>
  <si>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</si>
  <si>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</si>
  <si>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</si>
  <si>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</si>
  <si>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</si>
  <si>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</si>
  <si>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</si>
  <si>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</si>
  <si>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</si>
  <si>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</si>
  <si>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</si>
  <si>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</si>
  <si>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</si>
  <si>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</si>
  <si>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</si>
  <si>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</si>
  <si>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</si>
  <si>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</si>
  <si>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</si>
  <si>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</si>
  <si>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</si>
  <si>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</si>
  <si>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</si>
  <si>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</si>
  <si>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</si>
  <si>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</si>
  <si>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</si>
  <si>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</si>
  <si>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株式会社LinK - 見積・原価管理システム</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</si>
  <si>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</si>
  <si>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</si>
  <si>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</si>
  <si>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</si>
  <si>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</si>
  <si>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</si>
  <si>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</si>
  <si>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</si>
  <si>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</si>
  <si>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</si>
  <si>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</si>
  <si>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</si>
  <si>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</si>
  <si>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</si>
  <si>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</si>
  <si>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</si>
  <si>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</si>
  <si>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</si>
  <si>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</si>
  <si>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</si>
  <si>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</si>
  <si>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</si>
  <si>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</si>
  <si>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</si>
  <si>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</si>
  <si>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</si>
  <si>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</si>
  <si>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</si>
  <si>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</si>
  <si>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</si>
  <si>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</si>
  <si>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</si>
  <si>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</si>
  <si>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</si>
  <si>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</si>
  <si>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</si>
  <si>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</si>
  <si>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</si>
  <si>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</si>
  <si>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</si>
  <si>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</si>
  <si>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</si>
  <si>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</si>
  <si>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</si>
  <si>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</si>
  <si>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</si>
  <si>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</si>
  <si>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</si>
  <si>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</si>
  <si>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</si>
  <si>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</si>
  <si>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</si>
  <si>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</si>
  <si>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</si>
  <si>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</si>
  <si>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</si>
  <si>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</si>
  <si>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</si>
  <si>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</si>
  <si>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</si>
  <si>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</si>
  <si>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</si>
  <si>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</si>
  <si>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</si>
  <si>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</si>
  <si>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</si>
  <si>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</si>
  <si>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</si>
  <si>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</si>
  <si>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</si>
  <si>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</si>
  <si>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</si>
  <si>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</si>
  <si>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</si>
  <si>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</si>
  <si>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</si>
  <si>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</si>
  <si>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</si>
  <si>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</si>
  <si>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</si>
  <si>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</si>
  <si>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</si>
  <si>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</si>
  <si>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</si>
  <si>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</si>
  <si>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</si>
  <si>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</si>
  <si>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</si>
  <si>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</si>
  <si>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</si>
  <si>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</si>
  <si>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</si>
  <si>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</si>
  <si>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</si>
  <si>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</si>
  <si>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</si>
  <si>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</si>
  <si>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</si>
  <si>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</si>
  <si>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</si>
  <si>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</si>
  <si>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</si>
  <si>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</si>
  <si>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</si>
  <si>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</si>
  <si>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</si>
  <si>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</si>
  <si>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</si>
  <si>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</si>
  <si>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</si>
  <si>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</si>
  <si>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</si>
  <si>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</si>
  <si>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</si>
  <si>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</si>
  <si>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</si>
  <si>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</si>
  <si>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</si>
  <si>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</si>
  <si>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</si>
  <si>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</si>
  <si>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</si>
  <si>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</si>
  <si>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</si>
  <si>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</si>
  <si>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</si>
  <si>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</si>
  <si>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</si>
  <si>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</si>
  <si>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</si>
  <si>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</si>
  <si>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</si>
  <si>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</si>
  <si>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</si>
  <si>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</si>
  <si>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</si>
  <si>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</si>
  <si>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</si>
  <si>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</si>
  <si>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</si>
  <si>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</si>
  <si>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</si>
  <si>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</si>
  <si>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</si>
  <si>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</si>
  <si>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</si>
  <si>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</si>
  <si>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</si>
  <si>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</si>
  <si>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</si>
  <si>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</si>
  <si>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</si>
  <si>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</si>
  <si>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</si>
  <si>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</si>
  <si>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</si>
  <si>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</si>
  <si>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</si>
  <si>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</si>
  <si>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</si>
  <si>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</si>
  <si>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</si>
  <si>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</si>
  <si>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</si>
  <si>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</si>
  <si>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</si>
  <si>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</si>
  <si>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</si>
  <si>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</si>
  <si>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</si>
  <si>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</si>
  <si>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</si>
  <si>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</si>
  <si>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</si>
  <si>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</si>
  <si>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</si>
  <si>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</si>
  <si>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</si>
  <si>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</si>
  <si>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</si>
  <si>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</si>
  <si>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</si>
  <si>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</si>
  <si>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</si>
  <si>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</si>
  <si>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</si>
  <si>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</si>
  <si>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</si>
  <si>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</si>
  <si>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</si>
  <si>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</si>
  <si>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</si>
  <si>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</si>
  <si>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</si>
  <si>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</si>
  <si>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</si>
  <si>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</si>
  <si>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</si>
  <si>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</si>
  <si>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</si>
  <si>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</si>
  <si>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</si>
  <si>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</si>
  <si>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</si>
  <si>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</si>
  <si>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</si>
  <si>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</si>
  <si>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</si>
  <si>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</si>
  <si>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</si>
  <si>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</si>
  <si>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</si>
  <si>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</si>
  <si>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</si>
  <si>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</si>
  <si>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</si>
  <si>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</si>
  <si>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</si>
  <si>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</si>
  <si>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</si>
  <si>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有限会社 山田建設</t>
  </si>
  <si>
    <t>山田太郎</t>
  </si>
  <si>
    <t>134-0083</t>
  </si>
  <si>
    <t>東京都江戸川区中葛西3-15-7</t>
  </si>
  <si>
    <t>03-6825-1111</t>
  </si>
  <si>
    <t>yamada@yamada-kensetsu.co.jp</t>
  </si>
  <si>
    <t>解体工事・造作工事</t>
  </si>
  <si>
    <t>毎月末日締切・翌月21日払い</t>
  </si>
  <si>
    <t>内装全般対応可</t>
  </si>
  <si>
    <t>株式会社 アクア工業</t>
  </si>
  <si>
    <t>鈴木一郎</t>
  </si>
  <si>
    <t>108-0073</t>
  </si>
  <si>
    <t>東京都港区三田8-5-12</t>
  </si>
  <si>
    <t>03-5439-2222</t>
  </si>
  <si>
    <t>suzuki@aqua-kogyo.co.jp</t>
  </si>
  <si>
    <t>衛生設備・給排水</t>
  </si>
  <si>
    <t>給排水専門</t>
  </si>
  <si>
    <t>佐藤電気工事</t>
  </si>
  <si>
    <t>佐藤健二</t>
  </si>
  <si>
    <t>134-0088</t>
  </si>
  <si>
    <t>東京都江戸川区西葛西7-22-3</t>
  </si>
  <si>
    <t>03-6825-3333</t>
  </si>
  <si>
    <t>sato@sato-denki.co.jp</t>
  </si>
  <si>
    <t>電気設備・空調</t>
  </si>
  <si>
    <t>毎月末日締切・翌月25日払い</t>
  </si>
  <si>
    <t>第二種電気工事士</t>
  </si>
  <si>
    <t>株式会社 美装クラフト</t>
  </si>
  <si>
    <t>田中美紀</t>
  </si>
  <si>
    <t>106-0047</t>
  </si>
  <si>
    <t>東京都港区南麻布4-10-1</t>
  </si>
  <si>
    <t>03-3446-4444</t>
  </si>
  <si>
    <t>tanaka@bisou-craft.co.jp</t>
  </si>
  <si>
    <t>仕上げ工事・タイル工事・塗装</t>
  </si>
  <si>
    <t>クロス・CFシート・タイル専門</t>
  </si>
  <si>
    <t>有限会社 松本建具</t>
  </si>
  <si>
    <t>松本雅人</t>
  </si>
  <si>
    <t>135-0002</t>
  </si>
  <si>
    <t>東京都江東区住吉 2-3-8</t>
  </si>
  <si>
    <t>03-5858-5555</t>
  </si>
  <si>
    <t>matsumoto@matsumoto-tategu.co.jp</t>
  </si>
  <si>
    <t>建具工事・家具工事</t>
  </si>
  <si>
    <t>オーダー建具・家具専門</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</si>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</sst>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4">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sz val="9"/>
      <color rgb="FF808080"/>
      <name val="ＭＳ Ｐゴシック"/>
      <family val="3"/>
      <charset val="128"/>
    </font>
  </fonts>
  <fills count="61">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FF6600"/>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34">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35">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48" fillId="44" borderId="0" xfId="0" applyFont="1" applyFill="1">
      <alignment vertical="center"/>
    </xf>
    <xf numFmtId="0" fontId="0" fillId="44" borderId="0" xfId="0" applyFill="1">
      <alignment vertical="center"/>
    </xf>
    <xf numFmtId="0" fontId="65" fillId="44" borderId="0" xfId="0" applyFont="1" applyFill="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101" fillId="46" borderId="0" xfId="0" applyFont="1" applyFill="1">
      <alignment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11" fillId="49"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0" fillId="50" borderId="0" xfId="0" applyFill="1">
      <alignment vertical="center"/>
    </xf>
    <xf numFmtId="0" fontId="58" fillId="0" borderId="0" xfId="0" applyFont="1">
      <alignment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50" borderId="126" xfId="0" applyFont="1" applyFill="1" applyBorder="1" applyAlignment="1">
      <alignment horizontal="center" vertical="center"/>
    </xf>
    <xf numFmtId="0" fontId="0" fillId="50" borderId="126" xfId="0" applyFill="1" applyBorder="1">
      <alignment vertical="center"/>
    </xf>
    <xf numFmtId="0" fontId="134" fillId="50"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50"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5" borderId="0" xfId="0" applyFont="1" applyFill="1">
      <alignment vertical="center"/>
    </xf>
    <xf numFmtId="0" fontId="119" fillId="45"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5" borderId="0" xfId="0" applyNumberFormat="1" applyFont="1" applyFill="1" applyAlignment="1">
      <alignment horizontal="center" vertical="center"/>
    </xf>
    <xf numFmtId="191" fontId="143" fillId="45"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1"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50"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5" borderId="0" xfId="0" applyFont="1" applyFill="1">
      <alignment vertical="center"/>
    </xf>
    <xf numFmtId="0" fontId="146" fillId="0" borderId="0" xfId="0" applyFont="1">
      <alignment vertical="center"/>
    </xf>
    <xf numFmtId="0" fontId="146" fillId="52" borderId="0" xfId="0" applyFont="1" applyFill="1">
      <alignment vertical="center"/>
    </xf>
    <xf numFmtId="0" fontId="147" fillId="53" borderId="0" xfId="0" applyFont="1" applyFill="1">
      <alignment vertical="center"/>
    </xf>
    <xf numFmtId="0" fontId="148" fillId="53"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3"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2"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4" borderId="0" xfId="0" applyFont="1" applyFill="1">
      <alignment vertical="center"/>
    </xf>
    <xf numFmtId="0" fontId="21" fillId="45" borderId="0" xfId="0" applyFont="1" applyFill="1">
      <alignment vertical="center"/>
    </xf>
    <xf numFmtId="0" fontId="42" fillId="55" borderId="0" xfId="0" applyFont="1" applyFill="1" applyAlignment="1">
      <alignment horizontal="center" vertical="center"/>
    </xf>
    <xf numFmtId="0" fontId="42" fillId="56"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7" borderId="0" xfId="0" applyFont="1" applyFill="1">
      <alignment vertical="center"/>
    </xf>
    <xf numFmtId="0" fontId="0" fillId="57"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8" borderId="0" xfId="0" applyFont="1" applyFill="1">
      <alignment vertical="center"/>
    </xf>
    <xf numFmtId="0" fontId="0" fillId="58" borderId="0" xfId="0" applyFill="1">
      <alignment vertical="center"/>
    </xf>
    <xf numFmtId="0" fontId="65" fillId="58" borderId="0" xfId="0" applyFont="1" applyFill="1">
      <alignment vertical="center"/>
    </xf>
    <xf numFmtId="0" fontId="66" fillId="59" borderId="0" xfId="0" applyFont="1" applyFill="1">
      <alignment vertical="center"/>
    </xf>
    <xf numFmtId="0" fontId="0" fillId="59" borderId="0" xfId="0" applyFill="1">
      <alignment vertical="center"/>
    </xf>
    <xf numFmtId="0" fontId="67" fillId="60"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8"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50" borderId="0" xfId="0" applyFont="1" applyFill="1">
      <alignment vertical="center"/>
    </xf>
    <xf numFmtId="0" fontId="21" fillId="18" borderId="0" xfId="0" applyFont="1" applyFill="1">
      <alignment vertical="center"/>
    </xf>
    <xf numFmtId="0" fontId="80" fillId="17" borderId="0" xfId="0" applyFont="1" applyFill="1">
      <alignment vertical="center"/>
    </xf>
    <xf numFmtId="0" fontId="178" fillId="0" borderId="0" xfId="0" applyFont="1">
      <alignment vertical="center"/>
    </xf>
    <xf numFmtId="0" fontId="179" fillId="50" borderId="0" xfId="0" applyFont="1" applyFill="1">
      <alignment vertical="center"/>
    </xf>
    <xf numFmtId="0" fontId="180" fillId="0" borderId="0" xfId="0" applyFont="1">
      <alignment vertical="center"/>
    </xf>
    <xf numFmtId="0" fontId="58" fillId="50"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180" fillId="0" borderId="0" xfId="0" applyFont="1" applyAlignment="1">
      <alignment horizontal="center" vertical="center"/>
    </xf>
    <xf numFmtId="0" fontId="181" fillId="0" borderId="0" xfId="0" applyFont="1" applyAlignment="1">
      <alignment horizontal="center" vertical="center"/>
    </xf>
    <xf numFmtId="0" fontId="0" fillId="50" borderId="131" xfId="0" applyFill="1" applyBorder="1">
      <alignment vertical="center"/>
    </xf>
    <xf numFmtId="191" fontId="182" fillId="50" borderId="131" xfId="0" applyNumberFormat="1" applyFont="1" applyFill="1" applyBorder="1" applyAlignment="1">
      <alignment horizontal="center" vertical="center"/>
    </xf>
    <xf numFmtId="0" fontId="89" fillId="50" borderId="132" xfId="0" applyFont="1" applyFill="1" applyBorder="1" applyAlignment="1">
      <alignment horizontal="center" vertical="center"/>
    </xf>
    <xf numFmtId="191" fontId="182" fillId="50" borderId="133" xfId="0" applyNumberFormat="1" applyFont="1" applyFill="1" applyBorder="1" applyAlignment="1">
      <alignment horizontal="center" vertical="center"/>
    </xf>
    <xf numFmtId="0" fontId="95" fillId="0" borderId="74" xfId="0" applyFont="1" applyBorder="1">
      <alignment vertical="center"/>
    </xf>
    <xf numFmtId="0" fontId="179"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3" fillId="0" borderId="0" xfId="0" applyFont="1">
      <alignment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06"/>
  <sheetViews>
    <sheetView topLeftCell="A9" workbookViewId="0">
      <selection activeCell="D47" sqref="D47"/>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32" customHeight="1">
      <c r="A1" s="508" t="s">
        <v>723</v>
      </c>
      <c r="B1" s="509"/>
      <c r="C1" s="509"/>
      <c r="D1" s="509"/>
      <c r="E1" s="509"/>
      <c r="F1" s="509"/>
      <c r="G1" s="509"/>
      <c r="H1" s="509"/>
    </row>
    <row r="2" spans="1:8" ht="18" customHeight="1">
      <c r="A2" s="510" t="s">
        <v>724</v>
      </c>
      <c r="B2" s="509"/>
      <c r="C2" s="509"/>
      <c r="D2" s="509"/>
      <c r="E2" s="509"/>
      <c r="F2" s="509"/>
      <c r="G2" s="509"/>
      <c r="H2" s="509"/>
    </row>
    <row r="4" spans="1:8" ht="17">
      <c r="A4" s="511" t="s">
        <v>725</v>
      </c>
    </row>
    <row r="5" spans="1:8">
      <c r="A5" s="377" t="s">
        <v>726</v>
      </c>
    </row>
    <row r="6" spans="1:8" ht="15" thickBot="1"/>
    <row r="7" spans="1:8">
      <c r="A7" s="626" t="s">
        <v>546</v>
      </c>
      <c r="B7" s="627" t="s">
        <v>558</v>
      </c>
      <c r="C7" s="626" t="s">
        <v>339</v>
      </c>
      <c r="D7" s="628" t="str">
        <f>IFERROR(VLOOKUP(B7,顧客マスタ!A:C,3,FALSE),"")</f>
        <v>吉野</v>
      </c>
      <c r="E7" s="629"/>
      <c r="F7" s="626" t="s">
        <v>673</v>
      </c>
      <c r="G7" s="628" t="str">
        <f>IFERROR(VLOOKUP(B7,顧客マスタ!A:D,4,FALSE),"")</f>
        <v>様</v>
      </c>
      <c r="H7" s="629"/>
    </row>
    <row r="8" spans="1:8">
      <c r="A8" s="630" t="s">
        <v>674</v>
      </c>
      <c r="B8" s="631" t="s">
        <v>763</v>
      </c>
      <c r="C8" s="522"/>
      <c r="D8" s="522"/>
      <c r="E8" s="630" t="s">
        <v>340</v>
      </c>
      <c r="F8" s="631" t="s">
        <v>764</v>
      </c>
      <c r="G8" s="522"/>
      <c r="H8" s="493"/>
    </row>
    <row r="9" spans="1:8" ht="15" thickBot="1">
      <c r="A9" s="632" t="s">
        <v>410</v>
      </c>
      <c r="B9" s="633" t="s">
        <v>394</v>
      </c>
      <c r="C9" s="634" t="s">
        <v>675</v>
      </c>
      <c r="D9" s="635">
        <v>0.25</v>
      </c>
      <c r="E9" s="636"/>
      <c r="F9" s="636"/>
      <c r="G9" s="636"/>
      <c r="H9" s="636"/>
    </row>
    <row r="11" spans="1:8" ht="15">
      <c r="A11" s="512" t="s">
        <v>727</v>
      </c>
    </row>
    <row r="12" spans="1:8" ht="17">
      <c r="A12" s="513" t="s">
        <v>728</v>
      </c>
      <c r="B12" t="s">
        <v>729</v>
      </c>
    </row>
    <row r="13" spans="1:8" ht="17">
      <c r="A13" s="514" t="s">
        <v>730</v>
      </c>
      <c r="B13" t="s">
        <v>731</v>
      </c>
    </row>
    <row r="14" spans="1:8" ht="17">
      <c r="A14" s="514" t="s">
        <v>732</v>
      </c>
      <c r="B14" t="s">
        <v>733</v>
      </c>
    </row>
    <row r="15" spans="1:8" ht="17">
      <c r="A15" s="514" t="s">
        <v>734</v>
      </c>
      <c r="B15" t="s">
        <v>735</v>
      </c>
    </row>
    <row r="16" spans="1:8" ht="17">
      <c r="A16" s="514" t="s">
        <v>736</v>
      </c>
      <c r="B16" t="s">
        <v>737</v>
      </c>
    </row>
    <row r="18" spans="1:4" ht="15">
      <c r="A18" s="515" t="s">
        <v>738</v>
      </c>
    </row>
    <row r="19" spans="1:4" ht="17">
      <c r="A19" s="1011" t="s">
        <v>322</v>
      </c>
      <c r="B19" s="293" t="s">
        <v>323</v>
      </c>
      <c r="C19" s="293" t="s">
        <v>1796</v>
      </c>
      <c r="D19" s="293" t="s">
        <v>164</v>
      </c>
    </row>
    <row r="20" spans="1:4">
      <c r="A20" t="s">
        <v>723</v>
      </c>
      <c r="B20" t="s">
        <v>1797</v>
      </c>
      <c r="C20" t="s">
        <v>1798</v>
      </c>
      <c r="D20" t="s">
        <v>1799</v>
      </c>
    </row>
    <row r="21" spans="1:4">
      <c r="A21" t="s">
        <v>325</v>
      </c>
      <c r="B21" t="s">
        <v>1800</v>
      </c>
      <c r="C21" t="s">
        <v>1801</v>
      </c>
    </row>
    <row r="22" spans="1:4">
      <c r="A22" t="s">
        <v>1218</v>
      </c>
      <c r="B22" t="s">
        <v>1802</v>
      </c>
      <c r="C22" t="s">
        <v>1803</v>
      </c>
      <c r="D22" t="s">
        <v>1804</v>
      </c>
    </row>
    <row r="23" spans="1:4">
      <c r="A23" t="s">
        <v>1284</v>
      </c>
      <c r="B23" t="s">
        <v>497</v>
      </c>
      <c r="C23" t="s">
        <v>1805</v>
      </c>
    </row>
    <row r="24" spans="1:4">
      <c r="A24" t="s">
        <v>757</v>
      </c>
      <c r="B24" t="s">
        <v>1806</v>
      </c>
      <c r="C24" t="s">
        <v>1807</v>
      </c>
    </row>
    <row r="25" spans="1:4">
      <c r="A25" t="s">
        <v>333</v>
      </c>
      <c r="B25" t="s">
        <v>1808</v>
      </c>
      <c r="C25" t="s">
        <v>1809</v>
      </c>
    </row>
    <row r="26" spans="1:4">
      <c r="A26" t="s">
        <v>508</v>
      </c>
      <c r="B26" t="s">
        <v>1810</v>
      </c>
      <c r="C26" t="s">
        <v>1811</v>
      </c>
      <c r="D26" t="s">
        <v>1812</v>
      </c>
    </row>
    <row r="27" spans="1:4">
      <c r="A27" t="s">
        <v>509</v>
      </c>
      <c r="B27" t="s">
        <v>1813</v>
      </c>
      <c r="C27" t="s">
        <v>1814</v>
      </c>
      <c r="D27" t="s">
        <v>1815</v>
      </c>
    </row>
    <row r="28" spans="1:4">
      <c r="A28" s="361" t="s">
        <v>1759</v>
      </c>
      <c r="B28" s="1002" t="s">
        <v>1212</v>
      </c>
      <c r="C28" s="1002" t="s">
        <v>1816</v>
      </c>
      <c r="D28" s="361" t="s">
        <v>1817</v>
      </c>
    </row>
    <row r="29" spans="1:4">
      <c r="A29" s="361" t="s">
        <v>1765</v>
      </c>
      <c r="B29" s="1002" t="s">
        <v>1818</v>
      </c>
      <c r="C29" s="1002" t="s">
        <v>1819</v>
      </c>
      <c r="D29" s="361" t="s">
        <v>1817</v>
      </c>
    </row>
    <row r="30" spans="1:4">
      <c r="A30" t="s">
        <v>1499</v>
      </c>
      <c r="B30" t="s">
        <v>1820</v>
      </c>
      <c r="C30" t="s">
        <v>1821</v>
      </c>
    </row>
    <row r="32" spans="1:4" ht="15">
      <c r="A32" s="1012" t="s">
        <v>1822</v>
      </c>
    </row>
    <row r="33" spans="1:2">
      <c r="A33" s="290" t="s">
        <v>1823</v>
      </c>
      <c r="B33" t="s">
        <v>1824</v>
      </c>
    </row>
    <row r="35" spans="1:2">
      <c r="A35" s="290" t="s">
        <v>1825</v>
      </c>
    </row>
    <row r="36" spans="1:2">
      <c r="A36" t="s">
        <v>1826</v>
      </c>
      <c r="B36" t="s">
        <v>1827</v>
      </c>
    </row>
    <row r="37" spans="1:2">
      <c r="A37" t="s">
        <v>1828</v>
      </c>
      <c r="B37" t="s">
        <v>1829</v>
      </c>
    </row>
    <row r="38" spans="1:2">
      <c r="A38" t="s">
        <v>1830</v>
      </c>
      <c r="B38" t="s">
        <v>1831</v>
      </c>
    </row>
    <row r="39" spans="1:2">
      <c r="A39" t="s">
        <v>1832</v>
      </c>
      <c r="B39" t="s">
        <v>1833</v>
      </c>
    </row>
    <row r="40" spans="1:2">
      <c r="A40" t="s">
        <v>1834</v>
      </c>
      <c r="B40" t="s">
        <v>1835</v>
      </c>
    </row>
    <row r="41" spans="1:2">
      <c r="A41" t="s">
        <v>1836</v>
      </c>
      <c r="B41" t="s">
        <v>1837</v>
      </c>
    </row>
    <row r="42" spans="1:2">
      <c r="B42" s="868" t="s">
        <v>1838</v>
      </c>
    </row>
    <row r="44" spans="1:2" ht="15">
      <c r="A44" s="1012" t="s">
        <v>1839</v>
      </c>
    </row>
    <row r="45" spans="1:2">
      <c r="A45" s="290" t="s">
        <v>1823</v>
      </c>
      <c r="B45" t="s">
        <v>1840</v>
      </c>
    </row>
    <row r="47" spans="1:2">
      <c r="A47" s="290" t="s">
        <v>1825</v>
      </c>
    </row>
    <row r="48" spans="1:2">
      <c r="A48" t="s">
        <v>1826</v>
      </c>
      <c r="B48" t="s">
        <v>1841</v>
      </c>
    </row>
    <row r="49" spans="1:3">
      <c r="A49" t="s">
        <v>1828</v>
      </c>
      <c r="B49" t="s">
        <v>1842</v>
      </c>
    </row>
    <row r="50" spans="1:3">
      <c r="A50" t="s">
        <v>1830</v>
      </c>
      <c r="B50" t="s">
        <v>1843</v>
      </c>
    </row>
    <row r="51" spans="1:3">
      <c r="A51" t="s">
        <v>1832</v>
      </c>
      <c r="B51" t="s">
        <v>1844</v>
      </c>
    </row>
    <row r="52" spans="1:3">
      <c r="A52" t="s">
        <v>1834</v>
      </c>
      <c r="B52" t="s">
        <v>1837</v>
      </c>
    </row>
    <row r="53" spans="1:3">
      <c r="A53" t="s">
        <v>1836</v>
      </c>
      <c r="B53" s="868" t="s">
        <v>1845</v>
      </c>
    </row>
    <row r="54" spans="1:3">
      <c r="B54" s="1002" t="s">
        <v>1846</v>
      </c>
    </row>
    <row r="56" spans="1:3" ht="15">
      <c r="A56" s="1012" t="s">
        <v>1847</v>
      </c>
    </row>
    <row r="57" spans="1:3">
      <c r="A57" s="290" t="s">
        <v>1848</v>
      </c>
      <c r="B57" t="s">
        <v>1849</v>
      </c>
    </row>
    <row r="59" spans="1:3">
      <c r="A59" s="1013" t="s">
        <v>1850</v>
      </c>
      <c r="B59" s="1013" t="s">
        <v>337</v>
      </c>
      <c r="C59" s="1013" t="s">
        <v>1851</v>
      </c>
    </row>
    <row r="60" spans="1:3">
      <c r="A60" t="s">
        <v>1852</v>
      </c>
      <c r="B60" t="s">
        <v>1853</v>
      </c>
      <c r="C60" t="s">
        <v>1854</v>
      </c>
    </row>
    <row r="61" spans="1:3">
      <c r="A61" t="s">
        <v>1855</v>
      </c>
      <c r="B61" t="s">
        <v>1856</v>
      </c>
      <c r="C61" t="s">
        <v>1857</v>
      </c>
    </row>
    <row r="62" spans="1:3">
      <c r="A62" t="s">
        <v>1858</v>
      </c>
      <c r="B62" t="s">
        <v>1859</v>
      </c>
      <c r="C62" t="s">
        <v>1860</v>
      </c>
    </row>
    <row r="63" spans="1:3">
      <c r="A63" t="s">
        <v>1861</v>
      </c>
      <c r="B63" t="s">
        <v>1862</v>
      </c>
      <c r="C63" t="s">
        <v>1863</v>
      </c>
    </row>
    <row r="64" spans="1:3">
      <c r="A64" t="s">
        <v>1864</v>
      </c>
      <c r="B64" t="s">
        <v>1865</v>
      </c>
      <c r="C64" t="s">
        <v>1866</v>
      </c>
    </row>
    <row r="65" spans="1:3">
      <c r="A65" t="s">
        <v>1867</v>
      </c>
      <c r="B65" t="s">
        <v>1868</v>
      </c>
      <c r="C65" t="s">
        <v>1869</v>
      </c>
    </row>
    <row r="66" spans="1:3">
      <c r="A66" t="s">
        <v>1870</v>
      </c>
      <c r="B66" t="s">
        <v>1871</v>
      </c>
      <c r="C66" t="s">
        <v>1872</v>
      </c>
    </row>
    <row r="67" spans="1:3">
      <c r="A67" t="s">
        <v>1873</v>
      </c>
      <c r="B67" s="290" t="s">
        <v>1874</v>
      </c>
      <c r="C67" s="361" t="s">
        <v>1875</v>
      </c>
    </row>
    <row r="68" spans="1:3">
      <c r="A68" t="s">
        <v>1876</v>
      </c>
      <c r="B68" t="s">
        <v>1877</v>
      </c>
      <c r="C68" t="s">
        <v>1878</v>
      </c>
    </row>
    <row r="70" spans="1:3" ht="15">
      <c r="A70" s="1012" t="s">
        <v>1879</v>
      </c>
    </row>
    <row r="71" spans="1:3">
      <c r="A71" s="1014" t="s">
        <v>1880</v>
      </c>
      <c r="B71" s="1014" t="s">
        <v>1881</v>
      </c>
      <c r="C71" s="370"/>
    </row>
    <row r="72" spans="1:3">
      <c r="A72" t="s">
        <v>1882</v>
      </c>
      <c r="B72" t="s">
        <v>1883</v>
      </c>
    </row>
    <row r="74" spans="1:3">
      <c r="A74" s="1014" t="s">
        <v>1884</v>
      </c>
      <c r="B74" s="1014" t="s">
        <v>1885</v>
      </c>
      <c r="C74" s="370"/>
    </row>
    <row r="75" spans="1:3">
      <c r="A75" t="s">
        <v>1886</v>
      </c>
      <c r="B75" t="s">
        <v>1887</v>
      </c>
    </row>
    <row r="77" spans="1:3">
      <c r="A77" s="1014" t="s">
        <v>1888</v>
      </c>
      <c r="B77" s="1014" t="s">
        <v>1889</v>
      </c>
      <c r="C77" s="370"/>
    </row>
    <row r="78" spans="1:3">
      <c r="A78" t="s">
        <v>1890</v>
      </c>
      <c r="B78" t="s">
        <v>1891</v>
      </c>
    </row>
    <row r="80" spans="1:3">
      <c r="A80" s="1014" t="s">
        <v>1892</v>
      </c>
      <c r="B80" s="1014" t="s">
        <v>1893</v>
      </c>
      <c r="C80" s="370"/>
    </row>
    <row r="81" spans="1:3">
      <c r="A81" t="s">
        <v>1894</v>
      </c>
      <c r="B81" t="s">
        <v>1895</v>
      </c>
    </row>
    <row r="83" spans="1:3">
      <c r="A83" s="1014" t="s">
        <v>1896</v>
      </c>
      <c r="B83" s="1014" t="s">
        <v>1897</v>
      </c>
      <c r="C83" s="370"/>
    </row>
    <row r="84" spans="1:3">
      <c r="A84" t="s">
        <v>1898</v>
      </c>
      <c r="B84" t="s">
        <v>1899</v>
      </c>
    </row>
    <row r="87" spans="1:3" ht="15">
      <c r="A87" s="1012" t="s">
        <v>1922</v>
      </c>
    </row>
    <row r="88" spans="1:3">
      <c r="A88" s="290" t="s">
        <v>1823</v>
      </c>
      <c r="B88" t="s">
        <v>1923</v>
      </c>
    </row>
    <row r="90" spans="1:3">
      <c r="A90" s="290" t="s">
        <v>1825</v>
      </c>
    </row>
    <row r="91" spans="1:3">
      <c r="A91" t="s">
        <v>1826</v>
      </c>
      <c r="B91" t="s">
        <v>1924</v>
      </c>
    </row>
    <row r="92" spans="1:3">
      <c r="A92" t="s">
        <v>1828</v>
      </c>
      <c r="B92" t="s">
        <v>1925</v>
      </c>
    </row>
    <row r="93" spans="1:3">
      <c r="A93" t="s">
        <v>1830</v>
      </c>
      <c r="B93" t="s">
        <v>1926</v>
      </c>
    </row>
    <row r="94" spans="1:3">
      <c r="A94" t="s">
        <v>1836</v>
      </c>
      <c r="B94" t="s">
        <v>1927</v>
      </c>
    </row>
    <row r="95" spans="1:3">
      <c r="B95" s="1034" t="s">
        <v>1928</v>
      </c>
    </row>
    <row r="97" spans="1:2" ht="15">
      <c r="A97" s="1012" t="s">
        <v>1929</v>
      </c>
    </row>
    <row r="98" spans="1:2">
      <c r="A98" s="290" t="s">
        <v>1823</v>
      </c>
      <c r="B98" t="s">
        <v>1930</v>
      </c>
    </row>
    <row r="100" spans="1:2">
      <c r="A100" s="290" t="s">
        <v>1825</v>
      </c>
    </row>
    <row r="101" spans="1:2">
      <c r="A101" t="s">
        <v>1826</v>
      </c>
      <c r="B101" t="s">
        <v>1931</v>
      </c>
    </row>
    <row r="102" spans="1:2">
      <c r="A102" t="s">
        <v>1828</v>
      </c>
      <c r="B102" t="s">
        <v>1932</v>
      </c>
    </row>
    <row r="103" spans="1:2">
      <c r="A103" t="s">
        <v>1830</v>
      </c>
      <c r="B103" t="s">
        <v>1933</v>
      </c>
    </row>
    <row r="104" spans="1:2">
      <c r="A104" t="s">
        <v>1832</v>
      </c>
      <c r="B104" t="s">
        <v>1934</v>
      </c>
    </row>
    <row r="105" spans="1:2" ht="15">
      <c r="A105" s="1012" t="s">
        <v>1900</v>
      </c>
    </row>
    <row r="106" spans="1:2">
      <c r="A106" s="290" t="s">
        <v>1901</v>
      </c>
      <c r="B106" t="s">
        <v>1902</v>
      </c>
    </row>
  </sheetData>
  <phoneticPr fontId="1"/>
  <dataValidations count="2">
    <dataValidation allowBlank="1" showInputMessage="1" showErrorMessage="1" sqref="B9"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N85"/>
  <sheetViews>
    <sheetView workbookViewId="0">
      <pane ySplit="4" topLeftCell="A54" activePane="bottomLeft" state="frozen"/>
      <selection pane="bottomLeft" activeCell="B24" sqref="B24"/>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623</v>
      </c>
      <c r="B1" s="339"/>
      <c r="C1" s="339"/>
      <c r="D1" s="339"/>
      <c r="E1" s="339"/>
      <c r="F1" s="339"/>
      <c r="G1" s="339"/>
      <c r="H1" s="339"/>
      <c r="I1" s="339"/>
      <c r="J1" s="339"/>
      <c r="K1" s="339"/>
      <c r="L1" s="339"/>
      <c r="M1" s="339"/>
      <c r="N1" s="339"/>
    </row>
    <row r="2" spans="1:14" ht="18" customHeight="1">
      <c r="A2" s="375" t="s">
        <v>624</v>
      </c>
      <c r="B2" s="339"/>
      <c r="C2" s="339"/>
      <c r="D2" s="339"/>
      <c r="E2" s="339"/>
      <c r="F2" s="339"/>
      <c r="G2" s="339"/>
      <c r="H2" s="339"/>
      <c r="I2" s="339"/>
      <c r="J2" s="339"/>
      <c r="K2" s="339"/>
      <c r="L2" s="339"/>
      <c r="M2" s="339"/>
      <c r="N2" s="339"/>
    </row>
    <row r="3" spans="1:14" ht="18" customHeight="1">
      <c r="A3" s="378" t="s">
        <v>625</v>
      </c>
      <c r="B3" s="379"/>
      <c r="C3" s="379"/>
      <c r="D3" s="379"/>
      <c r="E3" s="379"/>
      <c r="F3" s="379"/>
      <c r="G3" s="379"/>
      <c r="H3" s="379"/>
      <c r="I3" s="379"/>
      <c r="J3" s="379"/>
      <c r="K3" s="379"/>
      <c r="L3" s="379"/>
      <c r="M3" s="379"/>
      <c r="N3" s="379"/>
    </row>
    <row r="5" spans="1:14" ht="20" customHeight="1">
      <c r="A5" s="415" t="s">
        <v>626</v>
      </c>
    </row>
    <row r="6" spans="1:14">
      <c r="A6" s="416" t="s">
        <v>627</v>
      </c>
      <c r="B6" s="320"/>
      <c r="C6" s="416" t="s">
        <v>628</v>
      </c>
      <c r="D6" s="320"/>
      <c r="E6" s="417" t="s">
        <v>629</v>
      </c>
      <c r="F6" s="418"/>
      <c r="G6" s="419" t="s">
        <v>630</v>
      </c>
      <c r="H6" s="420"/>
      <c r="I6" s="421" t="s">
        <v>631</v>
      </c>
      <c r="J6" s="339"/>
      <c r="K6" s="422" t="s">
        <v>632</v>
      </c>
      <c r="L6" s="423"/>
      <c r="M6" s="424" t="s">
        <v>633</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634</v>
      </c>
      <c r="B8" s="292"/>
      <c r="C8" s="434" t="s">
        <v>635</v>
      </c>
      <c r="D8" s="292"/>
      <c r="E8" s="435" t="s">
        <v>634</v>
      </c>
      <c r="F8" s="428"/>
      <c r="G8" s="436" t="s">
        <v>634</v>
      </c>
      <c r="H8" s="430"/>
      <c r="I8" s="437" t="s">
        <v>636</v>
      </c>
      <c r="J8" s="343"/>
      <c r="K8" s="438" t="s">
        <v>637</v>
      </c>
      <c r="L8" s="370"/>
      <c r="M8" s="439" t="s">
        <v>638</v>
      </c>
      <c r="N8" s="292"/>
    </row>
    <row r="9" spans="1:14">
      <c r="A9" s="447" t="s">
        <v>639</v>
      </c>
      <c r="B9" s="292"/>
      <c r="C9" s="447" t="s">
        <v>640</v>
      </c>
      <c r="D9" s="292"/>
      <c r="E9" s="448" t="s">
        <v>641</v>
      </c>
      <c r="F9" s="428"/>
      <c r="G9" s="449" t="s">
        <v>642</v>
      </c>
      <c r="H9" s="430"/>
      <c r="I9" s="450" t="s">
        <v>643</v>
      </c>
      <c r="J9" s="343"/>
      <c r="K9" s="451" t="s">
        <v>644</v>
      </c>
      <c r="L9" s="370"/>
      <c r="M9" s="447" t="s">
        <v>645</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646</v>
      </c>
      <c r="I12" s="341" t="s">
        <v>656</v>
      </c>
    </row>
    <row r="13" spans="1:14">
      <c r="A13" s="380" t="s">
        <v>533</v>
      </c>
      <c r="B13" s="380" t="s">
        <v>647</v>
      </c>
      <c r="C13" s="380" t="s">
        <v>648</v>
      </c>
      <c r="D13" s="380" t="s">
        <v>649</v>
      </c>
      <c r="E13" s="380" t="s">
        <v>643</v>
      </c>
      <c r="F13" s="380" t="s">
        <v>650</v>
      </c>
      <c r="G13" s="452"/>
      <c r="I13" s="380" t="s">
        <v>410</v>
      </c>
      <c r="J13" s="380" t="s">
        <v>657</v>
      </c>
      <c r="K13" s="380" t="s">
        <v>629</v>
      </c>
      <c r="L13" s="380" t="s">
        <v>658</v>
      </c>
      <c r="M13" s="380" t="s">
        <v>641</v>
      </c>
      <c r="N13" s="380" t="s">
        <v>659</v>
      </c>
    </row>
    <row r="14" spans="1:14">
      <c r="A14" s="381" t="s">
        <v>651</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652</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653</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4">
      <c r="A17" s="457" t="s">
        <v>599</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4">
      <c r="A18" s="461" t="s">
        <v>594</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4">
      <c r="A19" s="465" t="s">
        <v>654</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4">
      <c r="A20" s="469" t="s">
        <v>655</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4">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4" ht="15">
      <c r="A22" s="341" t="s">
        <v>660</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4">
      <c r="A23" s="474" t="s">
        <v>579</v>
      </c>
      <c r="B23" s="474" t="s">
        <v>339</v>
      </c>
      <c r="C23" s="474" t="s">
        <v>338</v>
      </c>
      <c r="D23" s="474" t="s">
        <v>533</v>
      </c>
      <c r="E23" s="474" t="s">
        <v>583</v>
      </c>
      <c r="F23" s="474" t="s">
        <v>580</v>
      </c>
      <c r="G23" s="474" t="s">
        <v>410</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4">
      <c r="A24" s="475" t="str" cm="1">
        <f t="array" aca="1" ref="A24" ca="1">IFERROR(_xlfn._xlws.FILTER(案件管理!A5:A104,(案件管理!L5:L104="⚠滞留")),"")</f>
        <v>P-002</v>
      </c>
      <c r="B24" s="475" t="str" cm="1">
        <f t="array" aca="1" ref="B24" ca="1">IFERROR(_xlfn._xlws.FILTER(案件管理!C5:C104,(案件管理!L5:L104="⚠滞留")),"")</f>
        <v>吉野</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row>
    <row r="25" spans="1:14">
      <c r="A25" s="475"/>
      <c r="B25" s="475"/>
      <c r="C25" s="475"/>
      <c r="D25" s="475"/>
      <c r="E25" s="476"/>
      <c r="F25" s="477"/>
      <c r="G25" s="475"/>
    </row>
    <row r="26" spans="1:14" ht="15">
      <c r="A26" s="475"/>
      <c r="B26" s="475"/>
      <c r="C26" s="475"/>
      <c r="D26" s="475"/>
      <c r="E26" s="476"/>
      <c r="F26" s="477"/>
      <c r="G26" s="475"/>
      <c r="I26" s="341" t="s">
        <v>661</v>
      </c>
    </row>
    <row r="27" spans="1:14">
      <c r="A27" s="475"/>
      <c r="B27" s="475"/>
      <c r="C27" s="475"/>
      <c r="D27" s="475"/>
      <c r="E27" s="476"/>
      <c r="F27" s="477"/>
      <c r="G27" s="475"/>
      <c r="I27" s="380" t="s">
        <v>546</v>
      </c>
      <c r="J27" s="380" t="s">
        <v>339</v>
      </c>
      <c r="K27" s="380" t="s">
        <v>552</v>
      </c>
      <c r="L27" s="380" t="s">
        <v>553</v>
      </c>
      <c r="M27" s="380" t="s">
        <v>555</v>
      </c>
      <c r="N27" s="380" t="s">
        <v>533</v>
      </c>
    </row>
    <row r="28" spans="1:14">
      <c r="A28" s="475"/>
      <c r="B28" s="475"/>
      <c r="C28" s="475"/>
      <c r="D28" s="475"/>
      <c r="E28" s="476"/>
      <c r="F28" s="477"/>
      <c r="G28" s="475"/>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吉野</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cm="1">
        <f t="array" ref="M28">IFERROR(_xlfn.SORTBY(_xlfn._xlws.FILTER(顧客マスタ!O5:O104,顧客マスタ!L5:L104&gt;0),_xlfn._xlws.FILTER(顧客マスタ!M5:M104,顧客マスタ!L5:L104&gt;0),-1),"")</f>
        <v>0</v>
      </c>
      <c r="N28" s="382" t="str" cm="1">
        <f t="array" ref="N28">IFERROR(_xlfn.SORTBY(_xlfn._xlws.FILTER(顧客マスタ!R5:R104,顧客マスタ!L5:L104&gt;0),_xlfn._xlws.FILTER(顧客マスタ!M5:M104,顧客マスタ!L5:L104&gt;0),-1),"")</f>
        <v>アクティブ</v>
      </c>
    </row>
    <row r="29" spans="1:14">
      <c r="A29" s="475"/>
      <c r="B29" s="475"/>
      <c r="C29" s="475"/>
      <c r="D29" s="475"/>
      <c r="E29" s="476"/>
      <c r="F29" s="477"/>
      <c r="G29" s="475"/>
      <c r="I29" s="389"/>
      <c r="J29" s="388"/>
      <c r="K29" s="410"/>
      <c r="L29" s="390"/>
      <c r="M29" s="389"/>
      <c r="N29" s="389"/>
    </row>
    <row r="30" spans="1:14" ht="15">
      <c r="A30" s="645" t="s">
        <v>903</v>
      </c>
      <c r="B30" s="475"/>
      <c r="C30" s="475"/>
      <c r="D30" s="475"/>
      <c r="E30" s="476"/>
      <c r="F30" s="477"/>
      <c r="G30" s="475"/>
      <c r="I30" s="382"/>
      <c r="J30" s="381"/>
      <c r="K30" s="409"/>
      <c r="L30" s="383"/>
      <c r="M30" s="382"/>
      <c r="N30" s="382"/>
    </row>
    <row r="31" spans="1:14">
      <c r="A31" s="646" t="s">
        <v>904</v>
      </c>
      <c r="B31" s="475"/>
      <c r="C31" s="475"/>
      <c r="D31" s="475"/>
      <c r="E31" s="476"/>
      <c r="F31" s="477"/>
      <c r="G31" s="475"/>
      <c r="I31" s="389"/>
      <c r="J31" s="388"/>
      <c r="K31" s="410"/>
      <c r="L31" s="390"/>
      <c r="M31" s="389"/>
      <c r="N31" s="389"/>
    </row>
    <row r="32" spans="1:14">
      <c r="A32" s="475"/>
      <c r="B32" s="475"/>
      <c r="C32" s="475"/>
      <c r="D32" s="475"/>
      <c r="E32" s="476"/>
      <c r="F32" s="477"/>
      <c r="G32" s="475"/>
      <c r="I32" s="382"/>
      <c r="J32" s="381"/>
      <c r="K32" s="409"/>
      <c r="L32" s="383"/>
      <c r="M32" s="382"/>
      <c r="N32" s="382"/>
    </row>
    <row r="33" spans="1:14" ht="15" thickBot="1">
      <c r="A33" s="647" t="s">
        <v>589</v>
      </c>
      <c r="B33" s="647" t="s">
        <v>647</v>
      </c>
      <c r="C33" s="647" t="s">
        <v>648</v>
      </c>
      <c r="D33" s="647" t="s">
        <v>905</v>
      </c>
      <c r="E33" s="648" t="s">
        <v>906</v>
      </c>
      <c r="F33" s="649" t="s">
        <v>907</v>
      </c>
      <c r="G33" s="647" t="s">
        <v>908</v>
      </c>
      <c r="I33" s="389"/>
      <c r="J33" s="388"/>
      <c r="K33" s="410"/>
      <c r="L33" s="390"/>
      <c r="M33" s="389"/>
      <c r="N33" s="389"/>
    </row>
    <row r="34" spans="1:14">
      <c r="A34" s="379" t="s">
        <v>909</v>
      </c>
      <c r="B34" s="379">
        <f>COUNTIFS(案件管理!I:I,"⑥失注",案件管理!R:R,"*"&amp;A34&amp;"*")</f>
        <v>0</v>
      </c>
      <c r="C34" s="653">
        <f>IFERROR(B34/SUM(B34:B38),0)</f>
        <v>0</v>
      </c>
      <c r="D34" s="654">
        <f>SUMIFS(案件管理!F:F,案件管理!I:I,"⑥失注",案件管理!R:R,"*"&amp;A34&amp;"*")</f>
        <v>0</v>
      </c>
      <c r="E34" s="654">
        <f>IFERROR(AVERAGEIFS(案件管理!F:F,案件管理!I:I,"⑥失注",案件管理!R:R,"*"&amp;A34&amp;"*"),0)</f>
        <v>0</v>
      </c>
      <c r="F34" s="655">
        <f>IFERROR(_xlfn.MAXIFS(案件管理!J:J,案件管理!I:I,"⑥失注",案件管理!R:R,"*"&amp;A34&amp;"*"),"")</f>
        <v>0</v>
      </c>
      <c r="G34" s="379"/>
      <c r="I34" s="382"/>
      <c r="J34" s="381"/>
      <c r="K34" s="409"/>
      <c r="L34" s="383"/>
      <c r="M34" s="382"/>
      <c r="N34" s="382"/>
    </row>
    <row r="35" spans="1:14">
      <c r="A35" t="s">
        <v>910</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row>
    <row r="36" spans="1:14">
      <c r="A36" s="379" t="s">
        <v>911</v>
      </c>
      <c r="B36" s="379">
        <f>COUNTIFS(案件管理!I:I,"⑥失注",案件管理!R:R,"*"&amp;A36&amp;"*")</f>
        <v>0</v>
      </c>
      <c r="C36" s="653">
        <f>IFERROR(B36/SUM(B34:B38),0)</f>
        <v>0</v>
      </c>
      <c r="D36" s="654">
        <f>SUMIFS(案件管理!F:F,案件管理!I:I,"⑥失注",案件管理!R:R,"*"&amp;A36&amp;"*")</f>
        <v>0</v>
      </c>
      <c r="E36" s="654">
        <f>IFERROR(AVERAGEIFS(案件管理!F:F,案件管理!I:I,"⑥失注",案件管理!R:R,"*"&amp;A36&amp;"*"),0)</f>
        <v>0</v>
      </c>
      <c r="F36" s="655">
        <f>IFERROR(_xlfn.MAXIFS(案件管理!J:J,案件管理!I:I,"⑥失注",案件管理!R:R,"*"&amp;A36&amp;"*"),"")</f>
        <v>0</v>
      </c>
      <c r="G36" s="379"/>
      <c r="I36" s="382"/>
      <c r="J36" s="381"/>
      <c r="K36" s="409"/>
      <c r="L36" s="383"/>
      <c r="M36" s="382"/>
      <c r="N36" s="382"/>
    </row>
    <row r="37" spans="1:14">
      <c r="A37" t="s">
        <v>912</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row>
    <row r="38" spans="1:14" ht="15" thickBot="1">
      <c r="A38" s="379" t="s">
        <v>913</v>
      </c>
      <c r="B38" s="379">
        <f>COUNTIFS(案件管理!I:I,"⑥失注",案件管理!R:R,"*"&amp;A38&amp;"*")</f>
        <v>0</v>
      </c>
      <c r="C38" s="653">
        <f>IFERROR(B38/SUM(B34:B38),0)</f>
        <v>0</v>
      </c>
      <c r="D38" s="654">
        <f>SUMIFS(案件管理!F:F,案件管理!I:I,"⑥失注",案件管理!R:R,"*"&amp;A38&amp;"*")</f>
        <v>0</v>
      </c>
      <c r="E38" s="654">
        <f>IFERROR(AVERAGEIFS(案件管理!F:F,案件管理!I:I,"⑥失注",案件管理!R:R,"*"&amp;A38&amp;"*"),0)</f>
        <v>0</v>
      </c>
      <c r="F38" s="655">
        <f>IFERROR(_xlfn.MAXIFS(案件管理!J:J,案件管理!I:I,"⑥失注",案件管理!R:R,"*"&amp;A38&amp;"*"),"")</f>
        <v>0</v>
      </c>
      <c r="G38" s="379"/>
    </row>
    <row r="39" spans="1:14">
      <c r="A39" s="650" t="s">
        <v>914</v>
      </c>
      <c r="B39" s="650">
        <f>SUM(B34:B38)</f>
        <v>0</v>
      </c>
      <c r="C39" s="651">
        <f>IFERROR(B39/B39,0)</f>
        <v>0</v>
      </c>
      <c r="D39" s="652">
        <f>SUM(D34:D38)</f>
        <v>0</v>
      </c>
      <c r="E39" s="652">
        <f>IFERROR(D39/B39,0)</f>
        <v>0</v>
      </c>
      <c r="F39" s="650"/>
      <c r="G39" s="650"/>
    </row>
    <row r="41" spans="1:14" ht="15">
      <c r="A41" s="837" t="s">
        <v>1000</v>
      </c>
      <c r="B41" s="347"/>
      <c r="C41" s="347"/>
      <c r="D41" s="347"/>
      <c r="E41" s="347"/>
      <c r="F41" s="347"/>
      <c r="G41" s="347"/>
    </row>
    <row r="42" spans="1:14">
      <c r="A42" s="839" t="s">
        <v>1001</v>
      </c>
      <c r="B42" s="347"/>
      <c r="C42" s="347"/>
      <c r="D42" s="347"/>
      <c r="E42" s="347"/>
      <c r="F42" s="347"/>
      <c r="G42" s="347"/>
    </row>
    <row r="44" spans="1:14">
      <c r="A44" s="840" t="s">
        <v>1002</v>
      </c>
      <c r="B44" s="841" t="s">
        <v>1003</v>
      </c>
      <c r="D44" s="840" t="s">
        <v>1004</v>
      </c>
      <c r="E44" s="841" t="s">
        <v>1005</v>
      </c>
      <c r="G44" s="842" t="s">
        <v>1006</v>
      </c>
    </row>
    <row r="45" spans="1:14" ht="22">
      <c r="A45" s="843">
        <f>COUNTIF(案件管理!X:X,"✅発行済")</f>
        <v>2</v>
      </c>
      <c r="B45" s="844">
        <f>COUNTIF(案件管理!X:X,"❌未発行")</f>
        <v>1</v>
      </c>
      <c r="D45" s="843">
        <f>COUNTIF(案件管理!AA:AA,"✅入金済")</f>
        <v>1</v>
      </c>
      <c r="E45" s="844">
        <f>COUNTIF(案件管理!AA:AA,"❌未入金")</f>
        <v>1</v>
      </c>
      <c r="G45" s="845">
        <f>IFERROR(SUMIFS(案件管理!Z:Z,案件管理!AA:AA,"❌未入金")/SUMIFS(案件管理!Z:Z,案件管理!X:X,"✅発行済"),0)</f>
        <v>0.26384600499743399</v>
      </c>
    </row>
    <row r="46" spans="1:14" ht="17">
      <c r="A46" s="846">
        <f>SUMIFS(案件管理!Z:Z,案件管理!X:X,"✅発行済")</f>
        <v>4754440</v>
      </c>
      <c r="B46" s="848">
        <f>SUMIFS(案件管理!Q:Q,案件管理!X:X,"❌未発行")</f>
        <v>0</v>
      </c>
      <c r="D46" s="846">
        <f>SUMIFS(案件管理!AC:AC,案件管理!AA:AA,"✅入金済")</f>
        <v>3500000</v>
      </c>
      <c r="E46" s="848">
        <f>SUMIFS(案件管理!Z:Z,案件管理!AA:AA,"❌未入金")</f>
        <v>1254440</v>
      </c>
      <c r="G46" s="849">
        <f>SUMIFS(案件管理!Z:Z,案件管理!AA:AA,"❌未入金")</f>
        <v>1254440</v>
      </c>
    </row>
    <row r="47" spans="1:14">
      <c r="A47" s="850" t="s">
        <v>1007</v>
      </c>
      <c r="B47" s="850" t="s">
        <v>1008</v>
      </c>
      <c r="D47" s="850" t="s">
        <v>1009</v>
      </c>
      <c r="E47" s="850" t="s">
        <v>1010</v>
      </c>
      <c r="G47" s="850" t="s">
        <v>1011</v>
      </c>
    </row>
    <row r="49" spans="1:7">
      <c r="A49" s="851" t="s">
        <v>1012</v>
      </c>
      <c r="B49" s="347"/>
      <c r="C49" s="347"/>
      <c r="D49" s="347"/>
      <c r="E49" s="347"/>
      <c r="F49" s="347"/>
      <c r="G49" s="347"/>
    </row>
    <row r="50" spans="1:7">
      <c r="A50" s="818" t="s">
        <v>579</v>
      </c>
      <c r="B50" s="818" t="s">
        <v>339</v>
      </c>
      <c r="C50" s="818" t="s">
        <v>338</v>
      </c>
      <c r="D50" s="818" t="s">
        <v>992</v>
      </c>
      <c r="E50" s="818" t="s">
        <v>991</v>
      </c>
      <c r="F50" s="818" t="s">
        <v>583</v>
      </c>
      <c r="G50" s="818" t="s">
        <v>410</v>
      </c>
    </row>
    <row r="51" spans="1:7">
      <c r="A51" t="str" cm="1">
        <f t="array" ref="A51">IFERROR(_xlfn._xlws.FILTER(案件管理!A5:A104,案件管理!AA5:AA104="❌未入金"),"未入金案件なし")</f>
        <v>P-003</v>
      </c>
      <c r="B51" t="str" cm="1">
        <f t="array" ref="B51">IFERROR(_xlfn._xlws.FILTER(案件管理!C5:C104,案件管理!AA5:AA104="❌未入金"),"")</f>
        <v>吉野</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51" t="s">
        <v>1013</v>
      </c>
      <c r="B54" s="347"/>
      <c r="C54" s="347"/>
      <c r="D54" s="347"/>
      <c r="E54" s="347"/>
      <c r="F54" s="347"/>
      <c r="G54" s="347"/>
    </row>
    <row r="55" spans="1:7">
      <c r="A55" s="818" t="s">
        <v>579</v>
      </c>
      <c r="B55" s="818" t="s">
        <v>339</v>
      </c>
      <c r="C55" s="818" t="s">
        <v>338</v>
      </c>
      <c r="D55" s="818" t="s">
        <v>533</v>
      </c>
      <c r="E55" s="818" t="s">
        <v>580</v>
      </c>
      <c r="F55" s="818" t="s">
        <v>583</v>
      </c>
      <c r="G55" s="818" t="s">
        <v>410</v>
      </c>
    </row>
    <row r="56" spans="1:7">
      <c r="A56" t="str" cm="1">
        <f t="array" ref="A56">IFERROR(_xlfn._xlws.FILTER(案件管理!A5:A104,案件管理!X5:X104="❌未発行"),"未発行案件なし")</f>
        <v>P-002</v>
      </c>
      <c r="B56" t="str" cm="1">
        <f t="array" ref="B56">IFERROR(_xlfn._xlws.FILTER(案件管理!C5:C104,案件管理!X5:X104="❌未発行"),"")</f>
        <v>吉野</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901" t="s">
        <v>1061</v>
      </c>
      <c r="B57" s="425"/>
      <c r="C57" s="425"/>
      <c r="D57" s="425"/>
      <c r="E57" s="425"/>
      <c r="F57" s="425"/>
      <c r="G57" s="425"/>
    </row>
    <row r="58" spans="1:7">
      <c r="A58" s="838" t="s">
        <v>1062</v>
      </c>
    </row>
    <row r="60" spans="1:7">
      <c r="A60" s="902" t="s">
        <v>1063</v>
      </c>
      <c r="B60" s="904" t="s">
        <v>1064</v>
      </c>
      <c r="C60" s="906" t="s">
        <v>1065</v>
      </c>
      <c r="E60" s="908" t="s">
        <v>658</v>
      </c>
      <c r="F60" s="908" t="s">
        <v>639</v>
      </c>
      <c r="G60" s="908" t="s">
        <v>905</v>
      </c>
    </row>
    <row r="61" spans="1:7" ht="22">
      <c r="A61" s="909" t="str">
        <f>COUNTIF(案件管理!AD:AD,"🟢受注")&amp;" 件"</f>
        <v>2 件</v>
      </c>
      <c r="B61" s="910" t="str">
        <f>COUNTIF(案件管理!AD:AD,"🟡未受注")&amp;" 件"</f>
        <v>1 件</v>
      </c>
      <c r="C61" s="911" t="str">
        <f>COUNTIF(案件管理!AD:AD,"🔴失注")&amp;" 件"</f>
        <v>0 件</v>
      </c>
      <c r="E61" s="912">
        <f>IFERROR(COUNTIF(案件管理!AD:AD,"🟢受注")/(COUNTIF(案件管理!AD:AD,"🟢受注")+COUNTIF(案件管理!AD:AD,"🔴失注")),0)</f>
        <v>1</v>
      </c>
      <c r="F61" s="913">
        <f>SUMIFS(案件管理!F:F,案件管理!AD:AD,"🟢受注")</f>
        <v>4754440</v>
      </c>
      <c r="G61" s="913">
        <f>SUMIFS(案件管理!F:F,案件管理!AD:AD,"🔴失注")</f>
        <v>0</v>
      </c>
    </row>
    <row r="62" spans="1:7">
      <c r="A62" s="914">
        <f>SUMIFS(案件管理!F:F,案件管理!AD:AD,"🟢受注")</f>
        <v>4754440</v>
      </c>
      <c r="B62" s="915">
        <f>SUMIFS(案件管理!F:F,案件管理!AD:AD,"🟡未受注")</f>
        <v>1800000</v>
      </c>
      <c r="C62" s="916">
        <f>SUMIFS(案件管理!F:F,案件管理!AD:AD,"🔴失注")</f>
        <v>0</v>
      </c>
    </row>
    <row r="64" spans="1:7">
      <c r="A64" s="903" t="s">
        <v>1066</v>
      </c>
    </row>
    <row r="65" spans="1:7">
      <c r="A65" s="917" t="s">
        <v>579</v>
      </c>
      <c r="B65" s="917" t="s">
        <v>339</v>
      </c>
      <c r="C65" s="917" t="s">
        <v>338</v>
      </c>
      <c r="D65" s="917" t="s">
        <v>533</v>
      </c>
      <c r="E65" s="917" t="s">
        <v>580</v>
      </c>
      <c r="F65" s="917" t="s">
        <v>583</v>
      </c>
      <c r="G65" s="917" t="s">
        <v>410</v>
      </c>
    </row>
    <row r="66" spans="1:7">
      <c r="A66" s="862" t="str" cm="1">
        <f t="array" ref="A66">IFERROR(_xlfn._xlws.FILTER(案件管理!A5:A104,案件管理!AD5:AD104="🟡未受注"),"未受注案件なし")</f>
        <v>P-002</v>
      </c>
      <c r="B66" s="862" t="str" cm="1">
        <f t="array" ref="B66">IFERROR(_xlfn._xlws.FILTER(案件管理!C5:C104,案件管理!AD5:AD104="🟡未受注"),"")</f>
        <v>吉野</v>
      </c>
      <c r="C66" s="862" t="str" cm="1">
        <f t="array" ref="C66">IFERROR(_xlfn._xlws.FILTER(案件管理!D5:D104,案件管理!AD5:AD104="🟡未受注"),"")</f>
        <v>吉野様邸 外壁塗装工事</v>
      </c>
      <c r="D66" s="862" t="str" cm="1">
        <f t="array" ref="D66">IFERROR(_xlfn._xlws.FILTER(案件管理!I5:I104,案件管理!AD5:AD104="🟡未受注"),"")</f>
        <v>④見積提出済</v>
      </c>
      <c r="E66" s="918" cm="1">
        <f t="array" ref="E66">IFERROR(_xlfn._xlws.FILTER(案件管理!F5:F104,案件管理!AD5:AD104="🟡未受注"),"")</f>
        <v>1800000</v>
      </c>
      <c r="F66" s="862" cm="1">
        <f t="array" aca="1" ref="F66" ca="1">IFERROR(_xlfn._xlws.FILTER(案件管理!K5:K104,案件管理!AD5:AD104="🟡未受注"),"")</f>
        <v>379</v>
      </c>
      <c r="G66" s="862" t="str" cm="1">
        <f t="array" ref="G66">IFERROR(_xlfn._xlws.FILTER(案件管理!M5:M104,案件管理!AD5:AD104="🟡未受注"),"")</f>
        <v>吉野博</v>
      </c>
    </row>
    <row r="68" spans="1:7">
      <c r="A68" s="905" t="s">
        <v>1067</v>
      </c>
    </row>
    <row r="69" spans="1:7">
      <c r="A69" s="917" t="s">
        <v>579</v>
      </c>
      <c r="B69" s="917" t="s">
        <v>339</v>
      </c>
      <c r="C69" s="917" t="s">
        <v>338</v>
      </c>
      <c r="D69" s="917" t="s">
        <v>589</v>
      </c>
      <c r="E69" s="917" t="s">
        <v>580</v>
      </c>
      <c r="F69" s="917" t="s">
        <v>1068</v>
      </c>
      <c r="G69" s="917" t="s">
        <v>410</v>
      </c>
    </row>
    <row r="70" spans="1:7">
      <c r="A70" s="862" t="str" cm="1">
        <f t="array" ref="A70">IFERROR(_xlfn._xlws.FILTER(案件管理!A5:A104,案件管理!AD5:AD104="🔴失注"),"失注案件なし")</f>
        <v>失注案件なし</v>
      </c>
      <c r="B70" s="862" t="str" cm="1">
        <f t="array" ref="B70">IFERROR(_xlfn._xlws.FILTER(案件管理!C5:C104,案件管理!AD5:AD104="🔴失注"),"")</f>
        <v/>
      </c>
      <c r="C70" s="862" t="str" cm="1">
        <f t="array" ref="C70">IFERROR(_xlfn._xlws.FILTER(案件管理!D5:D104,案件管理!AD5:AD104="🔴失注"),"")</f>
        <v/>
      </c>
      <c r="D70" s="862" t="str" cm="1">
        <f t="array" ref="D70">IFERROR(_xlfn._xlws.FILTER(案件管理!R5:R104,案件管理!AD5:AD104="🔴失注"),"")</f>
        <v/>
      </c>
      <c r="E70" s="918" t="str" cm="1">
        <f t="array" ref="E70">IFERROR(_xlfn._xlws.FILTER(案件管理!F5:F104,案件管理!AD5:AD104="🔴失注"),"")</f>
        <v/>
      </c>
      <c r="F70" s="872" t="str" cm="1">
        <f t="array" ref="F70">IFERROR(_xlfn._xlws.FILTER(案件管理!J5:J104,案件管理!AD5:AD104="🔴失注"),"")</f>
        <v/>
      </c>
      <c r="G70" s="862" t="str" cm="1">
        <f t="array" ref="G70">IFERROR(_xlfn._xlws.FILTER(案件管理!M5:M104,案件管理!AD5:AD104="🔴失注"),"")</f>
        <v/>
      </c>
    </row>
    <row r="72" spans="1:7" ht="16">
      <c r="A72" s="997" t="s">
        <v>1770</v>
      </c>
    </row>
    <row r="73" spans="1:7">
      <c r="A73" s="377" t="s">
        <v>1771</v>
      </c>
    </row>
    <row r="75" spans="1:7">
      <c r="A75" s="998" t="s">
        <v>1635</v>
      </c>
      <c r="B75" s="998" t="s">
        <v>1637</v>
      </c>
      <c r="C75" s="999" t="s">
        <v>1638</v>
      </c>
      <c r="E75" s="1000" t="s">
        <v>1639</v>
      </c>
      <c r="F75" s="1000" t="s">
        <v>1641</v>
      </c>
      <c r="G75" s="999" t="s">
        <v>1642</v>
      </c>
    </row>
    <row r="76" spans="1:7" ht="17">
      <c r="A76" s="1001">
        <f>SUM(請求管理!G:G)</f>
        <v>4754440</v>
      </c>
      <c r="B76" s="1001">
        <f>SUM(請求管理!I:I)</f>
        <v>4127220</v>
      </c>
      <c r="C76" s="1003">
        <f>SUM(請求管理!J:J)</f>
        <v>627220</v>
      </c>
      <c r="E76" s="1004">
        <f>SUM(支払管理!G:G)</f>
        <v>250500</v>
      </c>
      <c r="F76" s="1004">
        <f>SUM(支払管理!I:I)</f>
        <v>205000</v>
      </c>
      <c r="G76" s="1003">
        <f>SUM(支払管理!J:J)</f>
        <v>45500</v>
      </c>
    </row>
    <row r="77" spans="1:7">
      <c r="A77" s="1005" t="s">
        <v>1772</v>
      </c>
      <c r="B77" s="1005" t="s">
        <v>1773</v>
      </c>
      <c r="C77" s="1005" t="s">
        <v>1774</v>
      </c>
      <c r="E77" s="1005" t="s">
        <v>1775</v>
      </c>
      <c r="F77" s="1005" t="s">
        <v>1776</v>
      </c>
      <c r="G77" s="1005" t="s">
        <v>1777</v>
      </c>
    </row>
    <row r="79" spans="1:7">
      <c r="A79" s="1006" t="s">
        <v>1778</v>
      </c>
      <c r="B79" s="1006" t="s">
        <v>1779</v>
      </c>
      <c r="C79" s="1006" t="s">
        <v>1780</v>
      </c>
      <c r="E79" s="1006" t="s">
        <v>1781</v>
      </c>
    </row>
    <row r="80" spans="1:7" ht="17">
      <c r="A80" s="1007">
        <f>B76-F76</f>
        <v>3922220</v>
      </c>
      <c r="B80" s="1008">
        <f>IFERROR(B76/A76,0)</f>
        <v>0.86807699750128298</v>
      </c>
      <c r="C80" s="1008">
        <f>IFERROR(F76/E76,0)</f>
        <v>0.81836327345309379</v>
      </c>
      <c r="E80" s="1007">
        <f>B76-F76</f>
        <v>3922220</v>
      </c>
    </row>
    <row r="81" spans="1:7">
      <c r="A81" s="1005" t="s">
        <v>1782</v>
      </c>
      <c r="B81" s="1005" t="s">
        <v>1783</v>
      </c>
      <c r="C81" s="1005" t="s">
        <v>1784</v>
      </c>
      <c r="E81" s="1005" t="s">
        <v>1785</v>
      </c>
    </row>
    <row r="83" spans="1:7">
      <c r="A83" s="1009" t="s">
        <v>1786</v>
      </c>
    </row>
    <row r="84" spans="1:7">
      <c r="A84" s="996" t="s">
        <v>1597</v>
      </c>
      <c r="B84" s="996" t="s">
        <v>579</v>
      </c>
      <c r="C84" s="996" t="s">
        <v>355</v>
      </c>
      <c r="D84" s="996" t="s">
        <v>149</v>
      </c>
      <c r="E84" s="996" t="s">
        <v>693</v>
      </c>
      <c r="F84" s="996" t="s">
        <v>1787</v>
      </c>
      <c r="G84" s="996" t="s">
        <v>500</v>
      </c>
    </row>
    <row r="85" spans="1:7">
      <c r="A85" s="657" t="str" cm="1">
        <f t="array" ref="A85">IFERROR(_xlfn._xlws.FILTER(支払管理!A5:A104,支払管理!K5:K104="❌未支払"),"未支払なし")</f>
        <v>PAY-003</v>
      </c>
      <c r="B85" s="657" t="str" cm="1">
        <f t="array" ref="B85">IFERROR(_xlfn._xlws.FILTER(支払管理!B5:B104,支払管理!K5:K104="❌未支払"),"")</f>
        <v>P-003</v>
      </c>
      <c r="C85" s="657" t="str" cm="1">
        <f t="array" ref="C85">IFERROR(_xlfn._xlws.FILTER(支払管理!D5:D104,支払管理!K5:K104="❌未支払"),"")</f>
        <v>株式会社 美装クラフト</v>
      </c>
      <c r="D85" s="657" t="str" cm="1">
        <f t="array" ref="D85">IFERROR(_xlfn._xlws.FILTER(支払管理!E5:E104,支払管理!K5:K104="❌未支払"),"")</f>
        <v>クロス張替え・CFシート</v>
      </c>
      <c r="E85" s="1010" cm="1">
        <f t="array" ref="E85">IFERROR(_xlfn._xlws.FILTER(支払管理!G5:G104,支払管理!K5:K104="❌未支払"),"")</f>
        <v>45500</v>
      </c>
      <c r="F85" s="1010" cm="1">
        <f t="array" ref="F85">IFERROR(_xlfn._xlws.FILTER(支払管理!J5:J104,支払管理!K5:K104="❌未支払"),"")</f>
        <v>45500</v>
      </c>
      <c r="G85" s="657" t="str" cm="1">
        <f t="array" ref="G85">IFERROR(_xlfn._xlws.FILTER(支払管理!L5:L104,支払管理!K5:K104="❌未支払"),"")</f>
        <v>毎月末日締切・翌月21日払い</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D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0" ht="30" customHeight="1">
      <c r="A1" s="374" t="s">
        <v>576</v>
      </c>
      <c r="B1" s="339"/>
      <c r="C1" s="339"/>
      <c r="D1" s="339"/>
      <c r="E1" s="339"/>
      <c r="F1" s="339"/>
      <c r="G1" s="339"/>
      <c r="H1" s="339"/>
      <c r="I1" s="339"/>
      <c r="J1" s="339"/>
      <c r="K1" s="339"/>
      <c r="L1" s="339"/>
      <c r="M1" s="339"/>
      <c r="N1" s="339"/>
      <c r="O1" s="339"/>
      <c r="P1" s="339"/>
      <c r="Q1" s="339"/>
      <c r="R1" s="339"/>
      <c r="S1" s="339"/>
      <c r="T1" s="339"/>
    </row>
    <row r="2" spans="1:30" ht="18" customHeight="1">
      <c r="A2" s="376" t="s">
        <v>577</v>
      </c>
      <c r="B2" s="339"/>
      <c r="C2" s="339"/>
      <c r="D2" s="339"/>
      <c r="E2" s="339"/>
      <c r="F2" s="339"/>
      <c r="G2" s="339"/>
      <c r="H2" s="339"/>
      <c r="I2" s="339"/>
      <c r="J2" s="339"/>
      <c r="K2" s="339"/>
      <c r="L2" s="339"/>
      <c r="M2" s="339"/>
      <c r="N2" s="339"/>
      <c r="O2" s="339"/>
      <c r="P2" s="339"/>
      <c r="Q2" s="339"/>
      <c r="R2" s="339"/>
      <c r="S2" s="339"/>
      <c r="T2" s="339"/>
    </row>
    <row r="3" spans="1:30" ht="18" customHeight="1">
      <c r="A3" s="378" t="s">
        <v>578</v>
      </c>
      <c r="B3" s="379"/>
      <c r="C3" s="379"/>
      <c r="D3" s="379"/>
      <c r="E3" s="379"/>
      <c r="F3" s="379"/>
      <c r="G3" s="379"/>
      <c r="H3" s="379"/>
      <c r="I3" s="379"/>
      <c r="J3" s="379"/>
      <c r="K3" s="379"/>
      <c r="L3" s="379"/>
      <c r="M3" s="379"/>
      <c r="N3" s="379"/>
      <c r="O3" s="379"/>
      <c r="P3" s="379"/>
      <c r="Q3" s="379"/>
      <c r="R3" s="379"/>
      <c r="S3" s="379"/>
      <c r="T3" s="379"/>
    </row>
    <row r="4" spans="1:30" ht="22" customHeight="1">
      <c r="A4" s="380" t="s">
        <v>579</v>
      </c>
      <c r="B4" s="380" t="s">
        <v>546</v>
      </c>
      <c r="C4" s="380" t="s">
        <v>339</v>
      </c>
      <c r="D4" s="380" t="s">
        <v>338</v>
      </c>
      <c r="E4" s="380" t="s">
        <v>149</v>
      </c>
      <c r="F4" s="380" t="s">
        <v>580</v>
      </c>
      <c r="G4" s="380" t="s">
        <v>333</v>
      </c>
      <c r="H4" s="380" t="s">
        <v>581</v>
      </c>
      <c r="I4" s="380" t="s">
        <v>533</v>
      </c>
      <c r="J4" s="380" t="s">
        <v>582</v>
      </c>
      <c r="K4" s="380" t="s">
        <v>583</v>
      </c>
      <c r="L4" s="380" t="s">
        <v>584</v>
      </c>
      <c r="M4" s="380" t="s">
        <v>410</v>
      </c>
      <c r="N4" s="380" t="s">
        <v>585</v>
      </c>
      <c r="O4" s="380" t="s">
        <v>586</v>
      </c>
      <c r="P4" s="380" t="s">
        <v>587</v>
      </c>
      <c r="Q4" s="380" t="s">
        <v>588</v>
      </c>
      <c r="R4" s="380" t="s">
        <v>589</v>
      </c>
      <c r="S4" s="380" t="s">
        <v>590</v>
      </c>
      <c r="T4" s="380" t="s">
        <v>164</v>
      </c>
      <c r="U4" s="818" t="s">
        <v>987</v>
      </c>
      <c r="V4" s="818" t="s">
        <v>988</v>
      </c>
      <c r="W4" s="818" t="s">
        <v>989</v>
      </c>
      <c r="X4" s="818" t="s">
        <v>990</v>
      </c>
      <c r="Y4" s="818" t="s">
        <v>991</v>
      </c>
      <c r="Z4" s="818" t="s">
        <v>992</v>
      </c>
      <c r="AA4" s="818" t="s">
        <v>993</v>
      </c>
      <c r="AB4" s="818" t="s">
        <v>994</v>
      </c>
      <c r="AC4" s="818" t="s">
        <v>995</v>
      </c>
      <c r="AD4" s="900" t="s">
        <v>1060</v>
      </c>
    </row>
    <row r="5" spans="1:30">
      <c r="A5" s="382" t="s">
        <v>591</v>
      </c>
      <c r="B5" s="382" t="s">
        <v>558</v>
      </c>
      <c r="C5" s="381" t="str">
        <f>IFERROR(VLOOKUP(B5,顧客マスタ!A:C,3,FALSE),"")</f>
        <v>吉野</v>
      </c>
      <c r="D5" s="381" t="s">
        <v>592</v>
      </c>
      <c r="E5" s="381" t="s">
        <v>593</v>
      </c>
      <c r="F5" s="383">
        <v>3500000</v>
      </c>
      <c r="G5" s="383">
        <v>2800000</v>
      </c>
      <c r="H5" s="384">
        <f t="shared" ref="H5:H36" si="0">IF(AND(F5&lt;&gt;"",G5&lt;&gt;""),(F5-G5)/F5,"")</f>
        <v>0.2</v>
      </c>
      <c r="I5" s="382" t="s">
        <v>594</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595</v>
      </c>
      <c r="U5" s="821">
        <v>45731</v>
      </c>
      <c r="V5" s="820">
        <f ca="1">IF(AND(U5&lt;&gt;"",OR(I5="⑤受注",I5="③見積作成中",I5="④見積提出済")),U5-TODAY(),"")</f>
        <v>-333</v>
      </c>
      <c r="W5" s="822" t="str">
        <f ca="1">IF(V5="","",IF(V5&lt;0,"⚠工期超過",IF(V5&lt;=7,"⚠残り"&amp;V5&amp;"日","")))</f>
        <v>⚠工期超過</v>
      </c>
      <c r="X5" s="820" t="str">
        <f>IF(I5="","",IF(COUNTIFS(請求管理!B:B,A5)&gt;0,"✅発行済","❌未発行"))</f>
        <v>✅発行済</v>
      </c>
      <c r="Y5" s="821">
        <f>IF(I5="","",IFERROR(IF(COUNTIFS(請求管理!B:B,A5)=0,"",_xlfn.MAXIFS(請求管理!F:F,請求管理!B:B,A5)),""))</f>
        <v>45735</v>
      </c>
      <c r="Z5" s="823">
        <f>IF(I5="","",IFERROR(IF(COUNTIFS(請求管理!B:B,A5)=0,"",SUMIFS(請求管理!G:G,請求管理!B:B,A5)),""))</f>
        <v>3500000</v>
      </c>
      <c r="AA5" s="820" t="str">
        <f>IF(I5="","",IF(COUNTIFS(請求管理!B:B,A5)=0,"",IF(SUMIFS(請求管理!J:J,請求管理!B:B,A5)&lt;=0,"✅入金済","❌未入金")))</f>
        <v>✅入金済</v>
      </c>
      <c r="AB5" s="821">
        <f>IF(I5="","",IFERROR(IF(COUNTIFS(請求管理!B:B,A5)=0,"",_xlfn.MAXIFS(請求管理!H:H,請求管理!B:B,A5)),""))</f>
        <v>45760</v>
      </c>
      <c r="AC5" s="823">
        <f>IF(I5="","",IFERROR(IF(COUNTIFS(請求管理!B:B,A5)=0,"",SUMIFS(請求管理!I:I,請求管理!B:B,A5)),""))</f>
        <v>3500000</v>
      </c>
      <c r="AD5" s="827" t="str">
        <f>IF(OR(I5="⑤受注",I5="⑦完工"),"🟢受注",IF(I5="⑥失注","🔴失注",IF(I5="","","🟡未受注")))</f>
        <v>🟢受注</v>
      </c>
    </row>
    <row r="6" spans="1:30">
      <c r="A6" s="389" t="s">
        <v>596</v>
      </c>
      <c r="B6" s="389" t="s">
        <v>558</v>
      </c>
      <c r="C6" s="388" t="str">
        <f>IFERROR(VLOOKUP(B6,顧客マスタ!A:C,3,FALSE),"")</f>
        <v>吉野</v>
      </c>
      <c r="D6" s="388" t="s">
        <v>597</v>
      </c>
      <c r="E6" s="388" t="s">
        <v>598</v>
      </c>
      <c r="F6" s="390">
        <v>1800000</v>
      </c>
      <c r="G6" s="390"/>
      <c r="H6" s="391" t="str">
        <f t="shared" si="0"/>
        <v/>
      </c>
      <c r="I6" s="389" t="s">
        <v>599</v>
      </c>
      <c r="J6" s="392">
        <v>45685</v>
      </c>
      <c r="K6" s="410">
        <f t="shared" ca="1" si="1"/>
        <v>379</v>
      </c>
      <c r="L6" s="393" t="str">
        <f t="shared" ca="1" si="2"/>
        <v>⚠滞留</v>
      </c>
      <c r="M6" s="389" t="s">
        <v>394</v>
      </c>
      <c r="N6" s="392"/>
      <c r="O6" s="392"/>
      <c r="P6" s="392"/>
      <c r="Q6" s="390"/>
      <c r="R6" s="388"/>
      <c r="S6" s="392">
        <v>45677</v>
      </c>
      <c r="T6" s="388" t="s">
        <v>600</v>
      </c>
      <c r="U6" s="407"/>
      <c r="V6" s="825" t="str">
        <f ca="1">IF(AND(U6&lt;&gt;"",OR(I6="⑤受注",I6="③見積作成中",I6="④見積提出済")),U6-TODAY(),"")</f>
        <v/>
      </c>
      <c r="W6" s="826" t="str">
        <f ca="1">IF(V6="","",IF(V6&lt;0,"⚠工期超過",IF(V6&lt;=7,"⚠残り"&amp;V6&amp;"日","")))</f>
        <v/>
      </c>
      <c r="X6" s="820" t="str">
        <f>IF(I6="","",IF(COUNTIFS(請求管理!B:B,A6)&gt;0,"✅発行済","❌未発行"))</f>
        <v>❌未発行</v>
      </c>
      <c r="Y6" s="821" t="str">
        <f>IF(I6="","",IFERROR(IF(COUNTIFS(請求管理!B:B,A6)=0,"",_xlfn.MAXIFS(請求管理!F:F,請求管理!B:B,A6)),""))</f>
        <v/>
      </c>
      <c r="Z6" s="823" t="str">
        <f>IF(I6="","",IFERROR(IF(COUNTIFS(請求管理!B:B,A6)=0,"",SUMIFS(請求管理!G:G,請求管理!B:B,A6)),""))</f>
        <v/>
      </c>
      <c r="AA6" s="820" t="str">
        <f>IF(I6="","",IF(COUNTIFS(請求管理!B:B,A6)=0,"",IF(SUMIFS(請求管理!J:J,請求管理!B:B,A6)&lt;=0,"✅入金済","❌未入金")))</f>
        <v/>
      </c>
      <c r="AB6" s="821" t="str">
        <f>IF(I6="","",IFERROR(IF(COUNTIFS(請求管理!B:B,A6)=0,"",_xlfn.MAXIFS(請求管理!H:H,請求管理!B:B,A6)),""))</f>
        <v/>
      </c>
      <c r="AC6" s="823" t="str">
        <f>IF(I6="","",IFERROR(IF(COUNTIFS(請求管理!B:B,A6)=0,"",SUMIFS(請求管理!I:I,請求管理!B:B,A6)),""))</f>
        <v/>
      </c>
      <c r="AD6" s="827" t="str">
        <f>IF(OR(I6="⑤受注",I6="⑦完工"),"🟢受注",IF(I6="⑥失注","🔴失注",IF(I6="","","🟡未受注")))</f>
        <v>🟡未受注</v>
      </c>
    </row>
    <row r="7" spans="1:30">
      <c r="A7" s="396" t="s">
        <v>601</v>
      </c>
      <c r="B7" s="396" t="s">
        <v>558</v>
      </c>
      <c r="C7" s="397" t="str">
        <f>IFERROR(VLOOKUP(B7,顧客マスタ!A:C,3,FALSE),"")</f>
        <v>吉野</v>
      </c>
      <c r="D7" s="396" t="s">
        <v>763</v>
      </c>
      <c r="E7" s="396" t="s">
        <v>766</v>
      </c>
      <c r="F7" s="956">
        <f>'P-003_吉野様邸キッチン'!K50</f>
        <v>1254440</v>
      </c>
      <c r="G7" s="956">
        <f>'P-003_吉野様邸キッチン'!G50</f>
        <v>829180</v>
      </c>
      <c r="H7" s="402">
        <f t="shared" si="0"/>
        <v>0.33900385829533497</v>
      </c>
      <c r="I7" s="396" t="s">
        <v>655</v>
      </c>
      <c r="J7" s="405">
        <f ca="1">TODAY()</f>
        <v>46064</v>
      </c>
      <c r="K7" s="411">
        <f t="shared" ca="1" si="1"/>
        <v>0</v>
      </c>
      <c r="L7" s="398" t="str">
        <f t="shared" ca="1" si="2"/>
        <v/>
      </c>
      <c r="M7" s="396" t="s">
        <v>394</v>
      </c>
      <c r="N7" s="405"/>
      <c r="O7" s="405"/>
      <c r="P7" s="405">
        <f ca="1">TODAY()</f>
        <v>46064</v>
      </c>
      <c r="Q7" s="400">
        <f>F7</f>
        <v>1254440</v>
      </c>
      <c r="R7" s="396"/>
      <c r="S7" s="405">
        <f ca="1">TODAY()</f>
        <v>46064</v>
      </c>
      <c r="T7" s="396" t="s">
        <v>931</v>
      </c>
      <c r="U7" s="407"/>
      <c r="V7" s="820" t="str">
        <f ca="1">IF(AND(U7&lt;&gt;"",OR(I7="⑤受注",I7="③見積作成中",I7="④見積提出済")),U7-TODAY(),"")</f>
        <v/>
      </c>
      <c r="W7" s="822" t="str">
        <f ca="1">IF(V7="","",IF(V7&lt;0,"⚠工期超過",IF(V7&lt;=7,"⚠残り"&amp;V7&amp;"日","")))</f>
        <v/>
      </c>
      <c r="X7" s="820" t="str">
        <f>IF(I7="","",IF(COUNTIFS(請求管理!B:B,A7)&gt;0,"✅発行済","❌未発行"))</f>
        <v>✅発行済</v>
      </c>
      <c r="Y7" s="821">
        <f>IF(I7="","",IFERROR(IF(COUNTIFS(請求管理!B:B,A7)=0,"",_xlfn.MAXIFS(請求管理!F:F,請求管理!B:B,A7)),""))</f>
        <v>46064</v>
      </c>
      <c r="Z7" s="823">
        <f>IF(I7="","",IFERROR(IF(COUNTIFS(請求管理!B:B,A7)=0,"",SUMIFS(請求管理!G:G,請求管理!B:B,A7)),""))</f>
        <v>1254440</v>
      </c>
      <c r="AA7" s="820" t="str">
        <f>IF(I7="","",IF(COUNTIFS(請求管理!B:B,A7)=0,"",IF(SUMIFS(請求管理!J:J,請求管理!B:B,A7)&lt;=0,"✅入金済","❌未入金")))</f>
        <v>❌未入金</v>
      </c>
      <c r="AB7" s="821">
        <f>IF(I7="","",IFERROR(IF(COUNTIFS(請求管理!B:B,A7)=0,"",_xlfn.MAXIFS(請求管理!H:H,請求管理!B:B,A7)),""))</f>
        <v>46040</v>
      </c>
      <c r="AC7" s="823">
        <f>IF(I7="","",IFERROR(IF(COUNTIFS(請求管理!B:B,A7)=0,"",SUMIFS(請求管理!I:I,請求管理!B:B,A7)),""))</f>
        <v>627220</v>
      </c>
      <c r="AD7" s="827" t="str">
        <f>IF(OR(I7="⑤受注",I7="⑦完工"),"🟢受注",IF(I7="⑥失注","🔴失注",IF(I7="","","🟡未受注")))</f>
        <v>🟢受注</v>
      </c>
    </row>
    <row r="8" spans="1:30" ht="15">
      <c r="A8" s="309" t="s">
        <v>602</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7" t="str">
        <f ca="1">IF(AND(U8&lt;&gt;"",OR(I8="⑤受注",I8="③見積作成中",I8="④見積提出済")),U8-TODAY(),"")</f>
        <v/>
      </c>
      <c r="W8" s="828" t="str">
        <f ca="1">IF(V8="","",IF(V8&lt;0,"⚠工期超過",IF(V8&lt;=7,"⚠残り"&amp;V8&amp;"日","")))</f>
        <v/>
      </c>
      <c r="X8" s="820" t="str">
        <f>IF(I8="","",IF(COUNTIFS(請求管理!B:B,A8)&gt;0,"✅発行済","❌未発行"))</f>
        <v/>
      </c>
      <c r="Y8" s="821" t="str">
        <f>IF(I8="","",IFERROR(IF(COUNTIFS(請求管理!B:B,A8)=0,"",_xlfn.MAXIFS(請求管理!F:F,請求管理!B:B,A8)),""))</f>
        <v/>
      </c>
      <c r="Z8" s="823" t="str">
        <f>IF(I8="","",IFERROR(IF(COUNTIFS(請求管理!B:B,A8)=0,"",SUMIFS(請求管理!G:G,請求管理!B:B,A8)),""))</f>
        <v/>
      </c>
      <c r="AA8" s="820" t="str">
        <f>IF(I8="","",IF(COUNTIFS(請求管理!B:B,A8)=0,"",IF(SUMIFS(請求管理!J:J,請求管理!B:B,A8)&lt;=0,"✅入金済","❌未入金")))</f>
        <v/>
      </c>
      <c r="AB8" s="821" t="str">
        <f>IF(I8="","",IFERROR(IF(COUNTIFS(請求管理!B:B,A8)=0,"",_xlfn.MAXIFS(請求管理!H:H,請求管理!B:B,A8)),""))</f>
        <v/>
      </c>
      <c r="AC8" s="823" t="str">
        <f>IF(I8="","",IFERROR(IF(COUNTIFS(請求管理!B:B,A8)=0,"",SUMIFS(請求管理!I:I,請求管理!B:B,A8)),""))</f>
        <v/>
      </c>
      <c r="AD8" s="827" t="str">
        <f>IF(OR(I8="⑤受注",I8="⑦完工"),"🟢受注",IF(I8="⑥失注","🔴失注",IF(I8="","","🟡未受注")))</f>
        <v/>
      </c>
    </row>
    <row r="9" spans="1:30">
      <c r="A9" s="396" t="s">
        <v>603</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7" t="str">
        <f t="shared" ref="V9:V72" ca="1" si="3">IF(AND(U9&lt;&gt;"",OR(I9="⑤受注",I9="③見積作成中",I9="④見積提出済")),U9-TODAY(),"")</f>
        <v/>
      </c>
      <c r="W9" s="828" t="str">
        <f t="shared" ref="W9:W72" ca="1" si="4">IF(V9="","",IF(V9&lt;0,"⚠工期超過",IF(V9&lt;=7,"⚠残り"&amp;V9&amp;"日","")))</f>
        <v/>
      </c>
      <c r="X9" s="820" t="str">
        <f>IF(I9="","",IF(COUNTIFS(請求管理!B:B,A9)&gt;0,"✅発行済","❌未発行"))</f>
        <v/>
      </c>
      <c r="Y9" s="821" t="str">
        <f>IF(I9="","",IFERROR(IF(COUNTIFS(請求管理!B:B,A9)=0,"",_xlfn.MAXIFS(請求管理!F:F,請求管理!B:B,A9)),""))</f>
        <v/>
      </c>
      <c r="Z9" s="823" t="str">
        <f>IF(I9="","",IFERROR(IF(COUNTIFS(請求管理!B:B,A9)=0,"",SUMIFS(請求管理!G:G,請求管理!B:B,A9)),""))</f>
        <v/>
      </c>
      <c r="AA9" s="820" t="str">
        <f>IF(I9="","",IF(COUNTIFS(請求管理!B:B,A9)=0,"",IF(SUMIFS(請求管理!J:J,請求管理!B:B,A9)&lt;=0,"✅入金済","❌未入金")))</f>
        <v/>
      </c>
      <c r="AB9" s="821" t="str">
        <f>IF(I9="","",IFERROR(IF(COUNTIFS(請求管理!B:B,A9)=0,"",_xlfn.MAXIFS(請求管理!H:H,請求管理!B:B,A9)),""))</f>
        <v/>
      </c>
      <c r="AC9" s="823" t="str">
        <f>IF(I9="","",IFERROR(IF(COUNTIFS(請求管理!B:B,A9)=0,"",SUMIFS(請求管理!I:I,請求管理!B:B,A9)),""))</f>
        <v/>
      </c>
      <c r="AD9" s="827" t="str">
        <f t="shared" ref="AD9:AD72" si="5">IF(OR(I9="⑤受注",I9="⑦完工"),"🟢受注",IF(I9="⑥失注","🔴失注",IF(I9="","","🟡未受注")))</f>
        <v/>
      </c>
    </row>
    <row r="10" spans="1:30" ht="15">
      <c r="A10" s="309" t="s">
        <v>604</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7" t="str">
        <f t="shared" ca="1" si="3"/>
        <v/>
      </c>
      <c r="W10" s="828" t="str">
        <f t="shared" ca="1" si="4"/>
        <v/>
      </c>
      <c r="X10" s="820" t="str">
        <f>IF(I10="","",IF(COUNTIFS(請求管理!B:B,A10)&gt;0,"✅発行済","❌未発行"))</f>
        <v/>
      </c>
      <c r="Y10" s="821" t="str">
        <f>IF(I10="","",IFERROR(IF(COUNTIFS(請求管理!B:B,A10)=0,"",_xlfn.MAXIFS(請求管理!F:F,請求管理!B:B,A10)),""))</f>
        <v/>
      </c>
      <c r="Z10" s="823" t="str">
        <f>IF(I10="","",IFERROR(IF(COUNTIFS(請求管理!B:B,A10)=0,"",SUMIFS(請求管理!G:G,請求管理!B:B,A10)),""))</f>
        <v/>
      </c>
      <c r="AA10" s="820" t="str">
        <f>IF(I10="","",IF(COUNTIFS(請求管理!B:B,A10)=0,"",IF(SUMIFS(請求管理!J:J,請求管理!B:B,A10)&lt;=0,"✅入金済","❌未入金")))</f>
        <v/>
      </c>
      <c r="AB10" s="821" t="str">
        <f>IF(I10="","",IFERROR(IF(COUNTIFS(請求管理!B:B,A10)=0,"",_xlfn.MAXIFS(請求管理!H:H,請求管理!B:B,A10)),""))</f>
        <v/>
      </c>
      <c r="AC10" s="823" t="str">
        <f>IF(I10="","",IFERROR(IF(COUNTIFS(請求管理!B:B,A10)=0,"",SUMIFS(請求管理!I:I,請求管理!B:B,A10)),""))</f>
        <v/>
      </c>
      <c r="AD10" s="827" t="str">
        <f t="shared" si="5"/>
        <v/>
      </c>
    </row>
    <row r="11" spans="1:30">
      <c r="A11" s="396" t="s">
        <v>605</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7" t="str">
        <f t="shared" ca="1" si="3"/>
        <v/>
      </c>
      <c r="W11" s="828" t="str">
        <f t="shared" ca="1" si="4"/>
        <v/>
      </c>
      <c r="X11" s="820" t="str">
        <f>IF(I11="","",IF(COUNTIFS(請求管理!B:B,A11)&gt;0,"✅発行済","❌未発行"))</f>
        <v/>
      </c>
      <c r="Y11" s="821" t="str">
        <f>IF(I11="","",IFERROR(IF(COUNTIFS(請求管理!B:B,A11)=0,"",_xlfn.MAXIFS(請求管理!F:F,請求管理!B:B,A11)),""))</f>
        <v/>
      </c>
      <c r="Z11" s="823" t="str">
        <f>IF(I11="","",IFERROR(IF(COUNTIFS(請求管理!B:B,A11)=0,"",SUMIFS(請求管理!G:G,請求管理!B:B,A11)),""))</f>
        <v/>
      </c>
      <c r="AA11" s="820" t="str">
        <f>IF(I11="","",IF(COUNTIFS(請求管理!B:B,A11)=0,"",IF(SUMIFS(請求管理!J:J,請求管理!B:B,A11)&lt;=0,"✅入金済","❌未入金")))</f>
        <v/>
      </c>
      <c r="AB11" s="821" t="str">
        <f>IF(I11="","",IFERROR(IF(COUNTIFS(請求管理!B:B,A11)=0,"",_xlfn.MAXIFS(請求管理!H:H,請求管理!B:B,A11)),""))</f>
        <v/>
      </c>
      <c r="AC11" s="823" t="str">
        <f>IF(I11="","",IFERROR(IF(COUNTIFS(請求管理!B:B,A11)=0,"",SUMIFS(請求管理!I:I,請求管理!B:B,A11)),""))</f>
        <v/>
      </c>
      <c r="AD11" s="827" t="str">
        <f t="shared" si="5"/>
        <v/>
      </c>
    </row>
    <row r="12" spans="1:30" ht="15">
      <c r="A12" s="309" t="s">
        <v>606</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7" t="str">
        <f t="shared" ca="1" si="3"/>
        <v/>
      </c>
      <c r="W12" s="828" t="str">
        <f t="shared" ca="1" si="4"/>
        <v/>
      </c>
      <c r="X12" s="820" t="str">
        <f>IF(I12="","",IF(COUNTIFS(請求管理!B:B,A12)&gt;0,"✅発行済","❌未発行"))</f>
        <v/>
      </c>
      <c r="Y12" s="821" t="str">
        <f>IF(I12="","",IFERROR(IF(COUNTIFS(請求管理!B:B,A12)=0,"",_xlfn.MAXIFS(請求管理!F:F,請求管理!B:B,A12)),""))</f>
        <v/>
      </c>
      <c r="Z12" s="823" t="str">
        <f>IF(I12="","",IFERROR(IF(COUNTIFS(請求管理!B:B,A12)=0,"",SUMIFS(請求管理!G:G,請求管理!B:B,A12)),""))</f>
        <v/>
      </c>
      <c r="AA12" s="820" t="str">
        <f>IF(I12="","",IF(COUNTIFS(請求管理!B:B,A12)=0,"",IF(SUMIFS(請求管理!J:J,請求管理!B:B,A12)&lt;=0,"✅入金済","❌未入金")))</f>
        <v/>
      </c>
      <c r="AB12" s="821" t="str">
        <f>IF(I12="","",IFERROR(IF(COUNTIFS(請求管理!B:B,A12)=0,"",_xlfn.MAXIFS(請求管理!H:H,請求管理!B:B,A12)),""))</f>
        <v/>
      </c>
      <c r="AC12" s="823" t="str">
        <f>IF(I12="","",IFERROR(IF(COUNTIFS(請求管理!B:B,A12)=0,"",SUMIFS(請求管理!I:I,請求管理!B:B,A12)),""))</f>
        <v/>
      </c>
      <c r="AD12" s="827" t="str">
        <f t="shared" si="5"/>
        <v/>
      </c>
    </row>
    <row r="13" spans="1:30">
      <c r="A13" s="396" t="s">
        <v>607</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7" t="str">
        <f t="shared" ca="1" si="3"/>
        <v/>
      </c>
      <c r="W13" s="828" t="str">
        <f t="shared" ca="1" si="4"/>
        <v/>
      </c>
      <c r="X13" s="820" t="str">
        <f>IF(I13="","",IF(COUNTIFS(請求管理!B:B,A13)&gt;0,"✅発行済","❌未発行"))</f>
        <v/>
      </c>
      <c r="Y13" s="821" t="str">
        <f>IF(I13="","",IFERROR(IF(COUNTIFS(請求管理!B:B,A13)=0,"",_xlfn.MAXIFS(請求管理!F:F,請求管理!B:B,A13)),""))</f>
        <v/>
      </c>
      <c r="Z13" s="823" t="str">
        <f>IF(I13="","",IFERROR(IF(COUNTIFS(請求管理!B:B,A13)=0,"",SUMIFS(請求管理!G:G,請求管理!B:B,A13)),""))</f>
        <v/>
      </c>
      <c r="AA13" s="820" t="str">
        <f>IF(I13="","",IF(COUNTIFS(請求管理!B:B,A13)=0,"",IF(SUMIFS(請求管理!J:J,請求管理!B:B,A13)&lt;=0,"✅入金済","❌未入金")))</f>
        <v/>
      </c>
      <c r="AB13" s="821" t="str">
        <f>IF(I13="","",IFERROR(IF(COUNTIFS(請求管理!B:B,A13)=0,"",_xlfn.MAXIFS(請求管理!H:H,請求管理!B:B,A13)),""))</f>
        <v/>
      </c>
      <c r="AC13" s="823" t="str">
        <f>IF(I13="","",IFERROR(IF(COUNTIFS(請求管理!B:B,A13)=0,"",SUMIFS(請求管理!I:I,請求管理!B:B,A13)),""))</f>
        <v/>
      </c>
      <c r="AD13" s="827" t="str">
        <f t="shared" si="5"/>
        <v/>
      </c>
    </row>
    <row r="14" spans="1:30" ht="15">
      <c r="A14" s="309" t="s">
        <v>608</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7" t="str">
        <f t="shared" ca="1" si="3"/>
        <v/>
      </c>
      <c r="W14" s="828" t="str">
        <f t="shared" ca="1" si="4"/>
        <v/>
      </c>
      <c r="X14" s="820" t="str">
        <f>IF(I14="","",IF(COUNTIFS(請求管理!B:B,A14)&gt;0,"✅発行済","❌未発行"))</f>
        <v/>
      </c>
      <c r="Y14" s="821" t="str">
        <f>IF(I14="","",IFERROR(IF(COUNTIFS(請求管理!B:B,A14)=0,"",_xlfn.MAXIFS(請求管理!F:F,請求管理!B:B,A14)),""))</f>
        <v/>
      </c>
      <c r="Z14" s="823" t="str">
        <f>IF(I14="","",IFERROR(IF(COUNTIFS(請求管理!B:B,A14)=0,"",SUMIFS(請求管理!G:G,請求管理!B:B,A14)),""))</f>
        <v/>
      </c>
      <c r="AA14" s="820" t="str">
        <f>IF(I14="","",IF(COUNTIFS(請求管理!B:B,A14)=0,"",IF(SUMIFS(請求管理!J:J,請求管理!B:B,A14)&lt;=0,"✅入金済","❌未入金")))</f>
        <v/>
      </c>
      <c r="AB14" s="821" t="str">
        <f>IF(I14="","",IFERROR(IF(COUNTIFS(請求管理!B:B,A14)=0,"",_xlfn.MAXIFS(請求管理!H:H,請求管理!B:B,A14)),""))</f>
        <v/>
      </c>
      <c r="AC14" s="823" t="str">
        <f>IF(I14="","",IFERROR(IF(COUNTIFS(請求管理!B:B,A14)=0,"",SUMIFS(請求管理!I:I,請求管理!B:B,A14)),""))</f>
        <v/>
      </c>
      <c r="AD14" s="827" t="str">
        <f t="shared" si="5"/>
        <v/>
      </c>
    </row>
    <row r="15" spans="1:30">
      <c r="A15" s="396" t="s">
        <v>609</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7" t="str">
        <f t="shared" ca="1" si="3"/>
        <v/>
      </c>
      <c r="W15" s="828" t="str">
        <f t="shared" ca="1" si="4"/>
        <v/>
      </c>
      <c r="X15" s="820" t="str">
        <f>IF(I15="","",IF(COUNTIFS(請求管理!B:B,A15)&gt;0,"✅発行済","❌未発行"))</f>
        <v/>
      </c>
      <c r="Y15" s="821" t="str">
        <f>IF(I15="","",IFERROR(IF(COUNTIFS(請求管理!B:B,A15)=0,"",_xlfn.MAXIFS(請求管理!F:F,請求管理!B:B,A15)),""))</f>
        <v/>
      </c>
      <c r="Z15" s="823" t="str">
        <f>IF(I15="","",IFERROR(IF(COUNTIFS(請求管理!B:B,A15)=0,"",SUMIFS(請求管理!G:G,請求管理!B:B,A15)),""))</f>
        <v/>
      </c>
      <c r="AA15" s="820" t="str">
        <f>IF(I15="","",IF(COUNTIFS(請求管理!B:B,A15)=0,"",IF(SUMIFS(請求管理!J:J,請求管理!B:B,A15)&lt;=0,"✅入金済","❌未入金")))</f>
        <v/>
      </c>
      <c r="AB15" s="821" t="str">
        <f>IF(I15="","",IFERROR(IF(COUNTIFS(請求管理!B:B,A15)=0,"",_xlfn.MAXIFS(請求管理!H:H,請求管理!B:B,A15)),""))</f>
        <v/>
      </c>
      <c r="AC15" s="823" t="str">
        <f>IF(I15="","",IFERROR(IF(COUNTIFS(請求管理!B:B,A15)=0,"",SUMIFS(請求管理!I:I,請求管理!B:B,A15)),""))</f>
        <v/>
      </c>
      <c r="AD15" s="827" t="str">
        <f t="shared" si="5"/>
        <v/>
      </c>
    </row>
    <row r="16" spans="1:30" ht="15">
      <c r="A16" s="309" t="s">
        <v>610</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7" t="str">
        <f t="shared" ca="1" si="3"/>
        <v/>
      </c>
      <c r="W16" s="828" t="str">
        <f t="shared" ca="1" si="4"/>
        <v/>
      </c>
      <c r="X16" s="820" t="str">
        <f>IF(I16="","",IF(COUNTIFS(請求管理!B:B,A16)&gt;0,"✅発行済","❌未発行"))</f>
        <v/>
      </c>
      <c r="Y16" s="821" t="str">
        <f>IF(I16="","",IFERROR(IF(COUNTIFS(請求管理!B:B,A16)=0,"",_xlfn.MAXIFS(請求管理!F:F,請求管理!B:B,A16)),""))</f>
        <v/>
      </c>
      <c r="Z16" s="823" t="str">
        <f>IF(I16="","",IFERROR(IF(COUNTIFS(請求管理!B:B,A16)=0,"",SUMIFS(請求管理!G:G,請求管理!B:B,A16)),""))</f>
        <v/>
      </c>
      <c r="AA16" s="820" t="str">
        <f>IF(I16="","",IF(COUNTIFS(請求管理!B:B,A16)=0,"",IF(SUMIFS(請求管理!J:J,請求管理!B:B,A16)&lt;=0,"✅入金済","❌未入金")))</f>
        <v/>
      </c>
      <c r="AB16" s="821" t="str">
        <f>IF(I16="","",IFERROR(IF(COUNTIFS(請求管理!B:B,A16)=0,"",_xlfn.MAXIFS(請求管理!H:H,請求管理!B:B,A16)),""))</f>
        <v/>
      </c>
      <c r="AC16" s="823" t="str">
        <f>IF(I16="","",IFERROR(IF(COUNTIFS(請求管理!B:B,A16)=0,"",SUMIFS(請求管理!I:I,請求管理!B:B,A16)),""))</f>
        <v/>
      </c>
      <c r="AD16" s="827" t="str">
        <f t="shared" si="5"/>
        <v/>
      </c>
    </row>
    <row r="17" spans="1:30">
      <c r="A17" s="396" t="s">
        <v>611</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7" t="str">
        <f t="shared" ca="1" si="3"/>
        <v/>
      </c>
      <c r="W17" s="828" t="str">
        <f t="shared" ca="1" si="4"/>
        <v/>
      </c>
      <c r="X17" s="820" t="str">
        <f>IF(I17="","",IF(COUNTIFS(請求管理!B:B,A17)&gt;0,"✅発行済","❌未発行"))</f>
        <v/>
      </c>
      <c r="Y17" s="821" t="str">
        <f>IF(I17="","",IFERROR(IF(COUNTIFS(請求管理!B:B,A17)=0,"",_xlfn.MAXIFS(請求管理!F:F,請求管理!B:B,A17)),""))</f>
        <v/>
      </c>
      <c r="Z17" s="823" t="str">
        <f>IF(I17="","",IFERROR(IF(COUNTIFS(請求管理!B:B,A17)=0,"",SUMIFS(請求管理!G:G,請求管理!B:B,A17)),""))</f>
        <v/>
      </c>
      <c r="AA17" s="820" t="str">
        <f>IF(I17="","",IF(COUNTIFS(請求管理!B:B,A17)=0,"",IF(SUMIFS(請求管理!J:J,請求管理!B:B,A17)&lt;=0,"✅入金済","❌未入金")))</f>
        <v/>
      </c>
      <c r="AB17" s="821" t="str">
        <f>IF(I17="","",IFERROR(IF(COUNTIFS(請求管理!B:B,A17)=0,"",_xlfn.MAXIFS(請求管理!H:H,請求管理!B:B,A17)),""))</f>
        <v/>
      </c>
      <c r="AC17" s="823" t="str">
        <f>IF(I17="","",IFERROR(IF(COUNTIFS(請求管理!B:B,A17)=0,"",SUMIFS(請求管理!I:I,請求管理!B:B,A17)),""))</f>
        <v/>
      </c>
      <c r="AD17" s="827" t="str">
        <f t="shared" si="5"/>
        <v/>
      </c>
    </row>
    <row r="18" spans="1:30" ht="15">
      <c r="A18" s="309" t="s">
        <v>612</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7" t="str">
        <f t="shared" ca="1" si="3"/>
        <v/>
      </c>
      <c r="W18" s="828" t="str">
        <f t="shared" ca="1" si="4"/>
        <v/>
      </c>
      <c r="X18" s="820" t="str">
        <f>IF(I18="","",IF(COUNTIFS(請求管理!B:B,A18)&gt;0,"✅発行済","❌未発行"))</f>
        <v/>
      </c>
      <c r="Y18" s="821" t="str">
        <f>IF(I18="","",IFERROR(IF(COUNTIFS(請求管理!B:B,A18)=0,"",_xlfn.MAXIFS(請求管理!F:F,請求管理!B:B,A18)),""))</f>
        <v/>
      </c>
      <c r="Z18" s="823" t="str">
        <f>IF(I18="","",IFERROR(IF(COUNTIFS(請求管理!B:B,A18)=0,"",SUMIFS(請求管理!G:G,請求管理!B:B,A18)),""))</f>
        <v/>
      </c>
      <c r="AA18" s="820" t="str">
        <f>IF(I18="","",IF(COUNTIFS(請求管理!B:B,A18)=0,"",IF(SUMIFS(請求管理!J:J,請求管理!B:B,A18)&lt;=0,"✅入金済","❌未入金")))</f>
        <v/>
      </c>
      <c r="AB18" s="821" t="str">
        <f>IF(I18="","",IFERROR(IF(COUNTIFS(請求管理!B:B,A18)=0,"",_xlfn.MAXIFS(請求管理!H:H,請求管理!B:B,A18)),""))</f>
        <v/>
      </c>
      <c r="AC18" s="823" t="str">
        <f>IF(I18="","",IFERROR(IF(COUNTIFS(請求管理!B:B,A18)=0,"",SUMIFS(請求管理!I:I,請求管理!B:B,A18)),""))</f>
        <v/>
      </c>
      <c r="AD18" s="827" t="str">
        <f t="shared" si="5"/>
        <v/>
      </c>
    </row>
    <row r="19" spans="1:30">
      <c r="A19" s="396" t="s">
        <v>613</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7" t="str">
        <f t="shared" ca="1" si="3"/>
        <v/>
      </c>
      <c r="W19" s="828" t="str">
        <f t="shared" ca="1" si="4"/>
        <v/>
      </c>
      <c r="X19" s="820" t="str">
        <f>IF(I19="","",IF(COUNTIFS(請求管理!B:B,A19)&gt;0,"✅発行済","❌未発行"))</f>
        <v/>
      </c>
      <c r="Y19" s="821" t="str">
        <f>IF(I19="","",IFERROR(IF(COUNTIFS(請求管理!B:B,A19)=0,"",_xlfn.MAXIFS(請求管理!F:F,請求管理!B:B,A19)),""))</f>
        <v/>
      </c>
      <c r="Z19" s="823" t="str">
        <f>IF(I19="","",IFERROR(IF(COUNTIFS(請求管理!B:B,A19)=0,"",SUMIFS(請求管理!G:G,請求管理!B:B,A19)),""))</f>
        <v/>
      </c>
      <c r="AA19" s="820" t="str">
        <f>IF(I19="","",IF(COUNTIFS(請求管理!B:B,A19)=0,"",IF(SUMIFS(請求管理!J:J,請求管理!B:B,A19)&lt;=0,"✅入金済","❌未入金")))</f>
        <v/>
      </c>
      <c r="AB19" s="821" t="str">
        <f>IF(I19="","",IFERROR(IF(COUNTIFS(請求管理!B:B,A19)=0,"",_xlfn.MAXIFS(請求管理!H:H,請求管理!B:B,A19)),""))</f>
        <v/>
      </c>
      <c r="AC19" s="823" t="str">
        <f>IF(I19="","",IFERROR(IF(COUNTIFS(請求管理!B:B,A19)=0,"",SUMIFS(請求管理!I:I,請求管理!B:B,A19)),""))</f>
        <v/>
      </c>
      <c r="AD19" s="827" t="str">
        <f t="shared" si="5"/>
        <v/>
      </c>
    </row>
    <row r="20" spans="1:30" ht="15">
      <c r="A20" s="309" t="s">
        <v>614</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7" t="str">
        <f t="shared" ca="1" si="3"/>
        <v/>
      </c>
      <c r="W20" s="828" t="str">
        <f t="shared" ca="1" si="4"/>
        <v/>
      </c>
      <c r="X20" s="820" t="str">
        <f>IF(I20="","",IF(COUNTIFS(請求管理!B:B,A20)&gt;0,"✅発行済","❌未発行"))</f>
        <v/>
      </c>
      <c r="Y20" s="821" t="str">
        <f>IF(I20="","",IFERROR(IF(COUNTIFS(請求管理!B:B,A20)=0,"",_xlfn.MAXIFS(請求管理!F:F,請求管理!B:B,A20)),""))</f>
        <v/>
      </c>
      <c r="Z20" s="823" t="str">
        <f>IF(I20="","",IFERROR(IF(COUNTIFS(請求管理!B:B,A20)=0,"",SUMIFS(請求管理!G:G,請求管理!B:B,A20)),""))</f>
        <v/>
      </c>
      <c r="AA20" s="820" t="str">
        <f>IF(I20="","",IF(COUNTIFS(請求管理!B:B,A20)=0,"",IF(SUMIFS(請求管理!J:J,請求管理!B:B,A20)&lt;=0,"✅入金済","❌未入金")))</f>
        <v/>
      </c>
      <c r="AB20" s="821" t="str">
        <f>IF(I20="","",IFERROR(IF(COUNTIFS(請求管理!B:B,A20)=0,"",_xlfn.MAXIFS(請求管理!H:H,請求管理!B:B,A20)),""))</f>
        <v/>
      </c>
      <c r="AC20" s="823" t="str">
        <f>IF(I20="","",IFERROR(IF(COUNTIFS(請求管理!B:B,A20)=0,"",SUMIFS(請求管理!I:I,請求管理!B:B,A20)),""))</f>
        <v/>
      </c>
      <c r="AD20" s="827" t="str">
        <f t="shared" si="5"/>
        <v/>
      </c>
    </row>
    <row r="21" spans="1:30">
      <c r="A21" s="396" t="s">
        <v>615</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7" t="str">
        <f t="shared" ca="1" si="3"/>
        <v/>
      </c>
      <c r="W21" s="828" t="str">
        <f t="shared" ca="1" si="4"/>
        <v/>
      </c>
      <c r="X21" s="820" t="str">
        <f>IF(I21="","",IF(COUNTIFS(請求管理!B:B,A21)&gt;0,"✅発行済","❌未発行"))</f>
        <v/>
      </c>
      <c r="Y21" s="821" t="str">
        <f>IF(I21="","",IFERROR(IF(COUNTIFS(請求管理!B:B,A21)=0,"",_xlfn.MAXIFS(請求管理!F:F,請求管理!B:B,A21)),""))</f>
        <v/>
      </c>
      <c r="Z21" s="823" t="str">
        <f>IF(I21="","",IFERROR(IF(COUNTIFS(請求管理!B:B,A21)=0,"",SUMIFS(請求管理!G:G,請求管理!B:B,A21)),""))</f>
        <v/>
      </c>
      <c r="AA21" s="820" t="str">
        <f>IF(I21="","",IF(COUNTIFS(請求管理!B:B,A21)=0,"",IF(SUMIFS(請求管理!J:J,請求管理!B:B,A21)&lt;=0,"✅入金済","❌未入金")))</f>
        <v/>
      </c>
      <c r="AB21" s="821" t="str">
        <f>IF(I21="","",IFERROR(IF(COUNTIFS(請求管理!B:B,A21)=0,"",_xlfn.MAXIFS(請求管理!H:H,請求管理!B:B,A21)),""))</f>
        <v/>
      </c>
      <c r="AC21" s="823" t="str">
        <f>IF(I21="","",IFERROR(IF(COUNTIFS(請求管理!B:B,A21)=0,"",SUMIFS(請求管理!I:I,請求管理!B:B,A21)),""))</f>
        <v/>
      </c>
      <c r="AD21" s="827" t="str">
        <f t="shared" si="5"/>
        <v/>
      </c>
    </row>
    <row r="22" spans="1:30" ht="15">
      <c r="A22" s="309" t="s">
        <v>616</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7" t="str">
        <f t="shared" ca="1" si="3"/>
        <v/>
      </c>
      <c r="W22" s="828" t="str">
        <f t="shared" ca="1" si="4"/>
        <v/>
      </c>
      <c r="X22" s="820" t="str">
        <f>IF(I22="","",IF(COUNTIFS(請求管理!B:B,A22)&gt;0,"✅発行済","❌未発行"))</f>
        <v/>
      </c>
      <c r="Y22" s="821" t="str">
        <f>IF(I22="","",IFERROR(IF(COUNTIFS(請求管理!B:B,A22)=0,"",_xlfn.MAXIFS(請求管理!F:F,請求管理!B:B,A22)),""))</f>
        <v/>
      </c>
      <c r="Z22" s="823" t="str">
        <f>IF(I22="","",IFERROR(IF(COUNTIFS(請求管理!B:B,A22)=0,"",SUMIFS(請求管理!G:G,請求管理!B:B,A22)),""))</f>
        <v/>
      </c>
      <c r="AA22" s="820" t="str">
        <f>IF(I22="","",IF(COUNTIFS(請求管理!B:B,A22)=0,"",IF(SUMIFS(請求管理!J:J,請求管理!B:B,A22)&lt;=0,"✅入金済","❌未入金")))</f>
        <v/>
      </c>
      <c r="AB22" s="821" t="str">
        <f>IF(I22="","",IFERROR(IF(COUNTIFS(請求管理!B:B,A22)=0,"",_xlfn.MAXIFS(請求管理!H:H,請求管理!B:B,A22)),""))</f>
        <v/>
      </c>
      <c r="AC22" s="823" t="str">
        <f>IF(I22="","",IFERROR(IF(COUNTIFS(請求管理!B:B,A22)=0,"",SUMIFS(請求管理!I:I,請求管理!B:B,A22)),""))</f>
        <v/>
      </c>
      <c r="AD22" s="827" t="str">
        <f t="shared" si="5"/>
        <v/>
      </c>
    </row>
    <row r="23" spans="1:30">
      <c r="A23" s="396" t="s">
        <v>617</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7" t="str">
        <f t="shared" ca="1" si="3"/>
        <v/>
      </c>
      <c r="W23" s="828" t="str">
        <f t="shared" ca="1" si="4"/>
        <v/>
      </c>
      <c r="X23" s="820" t="str">
        <f>IF(I23="","",IF(COUNTIFS(請求管理!B:B,A23)&gt;0,"✅発行済","❌未発行"))</f>
        <v/>
      </c>
      <c r="Y23" s="821" t="str">
        <f>IF(I23="","",IFERROR(IF(COUNTIFS(請求管理!B:B,A23)=0,"",_xlfn.MAXIFS(請求管理!F:F,請求管理!B:B,A23)),""))</f>
        <v/>
      </c>
      <c r="Z23" s="823" t="str">
        <f>IF(I23="","",IFERROR(IF(COUNTIFS(請求管理!B:B,A23)=0,"",SUMIFS(請求管理!G:G,請求管理!B:B,A23)),""))</f>
        <v/>
      </c>
      <c r="AA23" s="820" t="str">
        <f>IF(I23="","",IF(COUNTIFS(請求管理!B:B,A23)=0,"",IF(SUMIFS(請求管理!J:J,請求管理!B:B,A23)&lt;=0,"✅入金済","❌未入金")))</f>
        <v/>
      </c>
      <c r="AB23" s="821" t="str">
        <f>IF(I23="","",IFERROR(IF(COUNTIFS(請求管理!B:B,A23)=0,"",_xlfn.MAXIFS(請求管理!H:H,請求管理!B:B,A23)),""))</f>
        <v/>
      </c>
      <c r="AC23" s="823" t="str">
        <f>IF(I23="","",IFERROR(IF(COUNTIFS(請求管理!B:B,A23)=0,"",SUMIFS(請求管理!I:I,請求管理!B:B,A23)),""))</f>
        <v/>
      </c>
      <c r="AD23" s="827" t="str">
        <f t="shared" si="5"/>
        <v/>
      </c>
    </row>
    <row r="24" spans="1:30" ht="15">
      <c r="A24" s="309" t="s">
        <v>618</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7" t="str">
        <f t="shared" ca="1" si="3"/>
        <v/>
      </c>
      <c r="W24" s="828" t="str">
        <f t="shared" ca="1" si="4"/>
        <v/>
      </c>
      <c r="X24" s="820" t="str">
        <f>IF(I24="","",IF(COUNTIFS(請求管理!B:B,A24)&gt;0,"✅発行済","❌未発行"))</f>
        <v/>
      </c>
      <c r="Y24" s="821" t="str">
        <f>IF(I24="","",IFERROR(IF(COUNTIFS(請求管理!B:B,A24)=0,"",_xlfn.MAXIFS(請求管理!F:F,請求管理!B:B,A24)),""))</f>
        <v/>
      </c>
      <c r="Z24" s="823" t="str">
        <f>IF(I24="","",IFERROR(IF(COUNTIFS(請求管理!B:B,A24)=0,"",SUMIFS(請求管理!G:G,請求管理!B:B,A24)),""))</f>
        <v/>
      </c>
      <c r="AA24" s="820" t="str">
        <f>IF(I24="","",IF(COUNTIFS(請求管理!B:B,A24)=0,"",IF(SUMIFS(請求管理!J:J,請求管理!B:B,A24)&lt;=0,"✅入金済","❌未入金")))</f>
        <v/>
      </c>
      <c r="AB24" s="821" t="str">
        <f>IF(I24="","",IFERROR(IF(COUNTIFS(請求管理!B:B,A24)=0,"",_xlfn.MAXIFS(請求管理!H:H,請求管理!B:B,A24)),""))</f>
        <v/>
      </c>
      <c r="AC24" s="823" t="str">
        <f>IF(I24="","",IFERROR(IF(COUNTIFS(請求管理!B:B,A24)=0,"",SUMIFS(請求管理!I:I,請求管理!B:B,A24)),""))</f>
        <v/>
      </c>
      <c r="AD24" s="827"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7" t="str">
        <f t="shared" ca="1" si="3"/>
        <v/>
      </c>
      <c r="W25" s="828" t="str">
        <f t="shared" ca="1" si="4"/>
        <v/>
      </c>
      <c r="X25" s="820" t="str">
        <f>IF(I25="","",IF(COUNTIFS(請求管理!B:B,A25)&gt;0,"✅発行済","❌未発行"))</f>
        <v/>
      </c>
      <c r="Y25" s="821" t="str">
        <f>IF(I25="","",IFERROR(IF(COUNTIFS(請求管理!B:B,A25)=0,"",_xlfn.MAXIFS(請求管理!F:F,請求管理!B:B,A25)),""))</f>
        <v/>
      </c>
      <c r="Z25" s="823" t="str">
        <f>IF(I25="","",IFERROR(IF(COUNTIFS(請求管理!B:B,A25)=0,"",SUMIFS(請求管理!G:G,請求管理!B:B,A25)),""))</f>
        <v/>
      </c>
      <c r="AA25" s="820" t="str">
        <f>IF(I25="","",IF(COUNTIFS(請求管理!B:B,A25)=0,"",IF(SUMIFS(請求管理!J:J,請求管理!B:B,A25)&lt;=0,"✅入金済","❌未入金")))</f>
        <v/>
      </c>
      <c r="AB25" s="821" t="str">
        <f>IF(I25="","",IFERROR(IF(COUNTIFS(請求管理!B:B,A25)=0,"",_xlfn.MAXIFS(請求管理!H:H,請求管理!B:B,A25)),""))</f>
        <v/>
      </c>
      <c r="AC25" s="823" t="str">
        <f>IF(I25="","",IFERROR(IF(COUNTIFS(請求管理!B:B,A25)=0,"",SUMIFS(請求管理!I:I,請求管理!B:B,A25)),""))</f>
        <v/>
      </c>
      <c r="AD25" s="827"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7" t="str">
        <f t="shared" ca="1" si="3"/>
        <v/>
      </c>
      <c r="W26" s="828" t="str">
        <f t="shared" ca="1" si="4"/>
        <v/>
      </c>
      <c r="X26" s="820" t="str">
        <f>IF(I26="","",IF(COUNTIFS(請求管理!B:B,A26)&gt;0,"✅発行済","❌未発行"))</f>
        <v/>
      </c>
      <c r="Y26" s="821" t="str">
        <f>IF(I26="","",IFERROR(IF(COUNTIFS(請求管理!B:B,A26)=0,"",_xlfn.MAXIFS(請求管理!F:F,請求管理!B:B,A26)),""))</f>
        <v/>
      </c>
      <c r="Z26" s="823" t="str">
        <f>IF(I26="","",IFERROR(IF(COUNTIFS(請求管理!B:B,A26)=0,"",SUMIFS(請求管理!G:G,請求管理!B:B,A26)),""))</f>
        <v/>
      </c>
      <c r="AA26" s="820" t="str">
        <f>IF(I26="","",IF(COUNTIFS(請求管理!B:B,A26)=0,"",IF(SUMIFS(請求管理!J:J,請求管理!B:B,A26)&lt;=0,"✅入金済","❌未入金")))</f>
        <v/>
      </c>
      <c r="AB26" s="821" t="str">
        <f>IF(I26="","",IFERROR(IF(COUNTIFS(請求管理!B:B,A26)=0,"",_xlfn.MAXIFS(請求管理!H:H,請求管理!B:B,A26)),""))</f>
        <v/>
      </c>
      <c r="AC26" s="823" t="str">
        <f>IF(I26="","",IFERROR(IF(COUNTIFS(請求管理!B:B,A26)=0,"",SUMIFS(請求管理!I:I,請求管理!B:B,A26)),""))</f>
        <v/>
      </c>
      <c r="AD26" s="827"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7" t="str">
        <f t="shared" ca="1" si="3"/>
        <v/>
      </c>
      <c r="W27" s="828" t="str">
        <f t="shared" ca="1" si="4"/>
        <v/>
      </c>
      <c r="X27" s="820" t="str">
        <f>IF(I27="","",IF(COUNTIFS(請求管理!B:B,A27)&gt;0,"✅発行済","❌未発行"))</f>
        <v/>
      </c>
      <c r="Y27" s="821" t="str">
        <f>IF(I27="","",IFERROR(IF(COUNTIFS(請求管理!B:B,A27)=0,"",_xlfn.MAXIFS(請求管理!F:F,請求管理!B:B,A27)),""))</f>
        <v/>
      </c>
      <c r="Z27" s="823" t="str">
        <f>IF(I27="","",IFERROR(IF(COUNTIFS(請求管理!B:B,A27)=0,"",SUMIFS(請求管理!G:G,請求管理!B:B,A27)),""))</f>
        <v/>
      </c>
      <c r="AA27" s="820" t="str">
        <f>IF(I27="","",IF(COUNTIFS(請求管理!B:B,A27)=0,"",IF(SUMIFS(請求管理!J:J,請求管理!B:B,A27)&lt;=0,"✅入金済","❌未入金")))</f>
        <v/>
      </c>
      <c r="AB27" s="821" t="str">
        <f>IF(I27="","",IFERROR(IF(COUNTIFS(請求管理!B:B,A27)=0,"",_xlfn.MAXIFS(請求管理!H:H,請求管理!B:B,A27)),""))</f>
        <v/>
      </c>
      <c r="AC27" s="823" t="str">
        <f>IF(I27="","",IFERROR(IF(COUNTIFS(請求管理!B:B,A27)=0,"",SUMIFS(請求管理!I:I,請求管理!B:B,A27)),""))</f>
        <v/>
      </c>
      <c r="AD27" s="827"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7" t="str">
        <f t="shared" ca="1" si="3"/>
        <v/>
      </c>
      <c r="W28" s="828" t="str">
        <f t="shared" ca="1" si="4"/>
        <v/>
      </c>
      <c r="X28" s="820" t="str">
        <f>IF(I28="","",IF(COUNTIFS(請求管理!B:B,A28)&gt;0,"✅発行済","❌未発行"))</f>
        <v/>
      </c>
      <c r="Y28" s="821" t="str">
        <f>IF(I28="","",IFERROR(IF(COUNTIFS(請求管理!B:B,A28)=0,"",_xlfn.MAXIFS(請求管理!F:F,請求管理!B:B,A28)),""))</f>
        <v/>
      </c>
      <c r="Z28" s="823" t="str">
        <f>IF(I28="","",IFERROR(IF(COUNTIFS(請求管理!B:B,A28)=0,"",SUMIFS(請求管理!G:G,請求管理!B:B,A28)),""))</f>
        <v/>
      </c>
      <c r="AA28" s="820" t="str">
        <f>IF(I28="","",IF(COUNTIFS(請求管理!B:B,A28)=0,"",IF(SUMIFS(請求管理!J:J,請求管理!B:B,A28)&lt;=0,"✅入金済","❌未入金")))</f>
        <v/>
      </c>
      <c r="AB28" s="821" t="str">
        <f>IF(I28="","",IFERROR(IF(COUNTIFS(請求管理!B:B,A28)=0,"",_xlfn.MAXIFS(請求管理!H:H,請求管理!B:B,A28)),""))</f>
        <v/>
      </c>
      <c r="AC28" s="823" t="str">
        <f>IF(I28="","",IFERROR(IF(COUNTIFS(請求管理!B:B,A28)=0,"",SUMIFS(請求管理!I:I,請求管理!B:B,A28)),""))</f>
        <v/>
      </c>
      <c r="AD28" s="827"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7" t="str">
        <f t="shared" ca="1" si="3"/>
        <v/>
      </c>
      <c r="W29" s="828" t="str">
        <f t="shared" ca="1" si="4"/>
        <v/>
      </c>
      <c r="X29" s="820" t="str">
        <f>IF(I29="","",IF(COUNTIFS(請求管理!B:B,A29)&gt;0,"✅発行済","❌未発行"))</f>
        <v/>
      </c>
      <c r="Y29" s="821" t="str">
        <f>IF(I29="","",IFERROR(IF(COUNTIFS(請求管理!B:B,A29)=0,"",_xlfn.MAXIFS(請求管理!F:F,請求管理!B:B,A29)),""))</f>
        <v/>
      </c>
      <c r="Z29" s="823" t="str">
        <f>IF(I29="","",IFERROR(IF(COUNTIFS(請求管理!B:B,A29)=0,"",SUMIFS(請求管理!G:G,請求管理!B:B,A29)),""))</f>
        <v/>
      </c>
      <c r="AA29" s="820" t="str">
        <f>IF(I29="","",IF(COUNTIFS(請求管理!B:B,A29)=0,"",IF(SUMIFS(請求管理!J:J,請求管理!B:B,A29)&lt;=0,"✅入金済","❌未入金")))</f>
        <v/>
      </c>
      <c r="AB29" s="821" t="str">
        <f>IF(I29="","",IFERROR(IF(COUNTIFS(請求管理!B:B,A29)=0,"",_xlfn.MAXIFS(請求管理!H:H,請求管理!B:B,A29)),""))</f>
        <v/>
      </c>
      <c r="AC29" s="823" t="str">
        <f>IF(I29="","",IFERROR(IF(COUNTIFS(請求管理!B:B,A29)=0,"",SUMIFS(請求管理!I:I,請求管理!B:B,A29)),""))</f>
        <v/>
      </c>
      <c r="AD29" s="827"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7" t="str">
        <f t="shared" ca="1" si="3"/>
        <v/>
      </c>
      <c r="W30" s="828" t="str">
        <f t="shared" ca="1" si="4"/>
        <v/>
      </c>
      <c r="X30" s="820" t="str">
        <f>IF(I30="","",IF(COUNTIFS(請求管理!B:B,A30)&gt;0,"✅発行済","❌未発行"))</f>
        <v/>
      </c>
      <c r="Y30" s="821" t="str">
        <f>IF(I30="","",IFERROR(IF(COUNTIFS(請求管理!B:B,A30)=0,"",_xlfn.MAXIFS(請求管理!F:F,請求管理!B:B,A30)),""))</f>
        <v/>
      </c>
      <c r="Z30" s="823" t="str">
        <f>IF(I30="","",IFERROR(IF(COUNTIFS(請求管理!B:B,A30)=0,"",SUMIFS(請求管理!G:G,請求管理!B:B,A30)),""))</f>
        <v/>
      </c>
      <c r="AA30" s="820" t="str">
        <f>IF(I30="","",IF(COUNTIFS(請求管理!B:B,A30)=0,"",IF(SUMIFS(請求管理!J:J,請求管理!B:B,A30)&lt;=0,"✅入金済","❌未入金")))</f>
        <v/>
      </c>
      <c r="AB30" s="821" t="str">
        <f>IF(I30="","",IFERROR(IF(COUNTIFS(請求管理!B:B,A30)=0,"",_xlfn.MAXIFS(請求管理!H:H,請求管理!B:B,A30)),""))</f>
        <v/>
      </c>
      <c r="AC30" s="823" t="str">
        <f>IF(I30="","",IFERROR(IF(COUNTIFS(請求管理!B:B,A30)=0,"",SUMIFS(請求管理!I:I,請求管理!B:B,A30)),""))</f>
        <v/>
      </c>
      <c r="AD30" s="827"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7" t="str">
        <f t="shared" ca="1" si="3"/>
        <v/>
      </c>
      <c r="W31" s="828" t="str">
        <f t="shared" ca="1" si="4"/>
        <v/>
      </c>
      <c r="X31" s="820" t="str">
        <f>IF(I31="","",IF(COUNTIFS(請求管理!B:B,A31)&gt;0,"✅発行済","❌未発行"))</f>
        <v/>
      </c>
      <c r="Y31" s="821" t="str">
        <f>IF(I31="","",IFERROR(IF(COUNTIFS(請求管理!B:B,A31)=0,"",_xlfn.MAXIFS(請求管理!F:F,請求管理!B:B,A31)),""))</f>
        <v/>
      </c>
      <c r="Z31" s="823" t="str">
        <f>IF(I31="","",IFERROR(IF(COUNTIFS(請求管理!B:B,A31)=0,"",SUMIFS(請求管理!G:G,請求管理!B:B,A31)),""))</f>
        <v/>
      </c>
      <c r="AA31" s="820" t="str">
        <f>IF(I31="","",IF(COUNTIFS(請求管理!B:B,A31)=0,"",IF(SUMIFS(請求管理!J:J,請求管理!B:B,A31)&lt;=0,"✅入金済","❌未入金")))</f>
        <v/>
      </c>
      <c r="AB31" s="821" t="str">
        <f>IF(I31="","",IFERROR(IF(COUNTIFS(請求管理!B:B,A31)=0,"",_xlfn.MAXIFS(請求管理!H:H,請求管理!B:B,A31)),""))</f>
        <v/>
      </c>
      <c r="AC31" s="823" t="str">
        <f>IF(I31="","",IFERROR(IF(COUNTIFS(請求管理!B:B,A31)=0,"",SUMIFS(請求管理!I:I,請求管理!B:B,A31)),""))</f>
        <v/>
      </c>
      <c r="AD31" s="827"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7" t="str">
        <f t="shared" ca="1" si="3"/>
        <v/>
      </c>
      <c r="W32" s="828" t="str">
        <f t="shared" ca="1" si="4"/>
        <v/>
      </c>
      <c r="X32" s="820" t="str">
        <f>IF(I32="","",IF(COUNTIFS(請求管理!B:B,A32)&gt;0,"✅発行済","❌未発行"))</f>
        <v/>
      </c>
      <c r="Y32" s="821" t="str">
        <f>IF(I32="","",IFERROR(IF(COUNTIFS(請求管理!B:B,A32)=0,"",_xlfn.MAXIFS(請求管理!F:F,請求管理!B:B,A32)),""))</f>
        <v/>
      </c>
      <c r="Z32" s="823" t="str">
        <f>IF(I32="","",IFERROR(IF(COUNTIFS(請求管理!B:B,A32)=0,"",SUMIFS(請求管理!G:G,請求管理!B:B,A32)),""))</f>
        <v/>
      </c>
      <c r="AA32" s="820" t="str">
        <f>IF(I32="","",IF(COUNTIFS(請求管理!B:B,A32)=0,"",IF(SUMIFS(請求管理!J:J,請求管理!B:B,A32)&lt;=0,"✅入金済","❌未入金")))</f>
        <v/>
      </c>
      <c r="AB32" s="821" t="str">
        <f>IF(I32="","",IFERROR(IF(COUNTIFS(請求管理!B:B,A32)=0,"",_xlfn.MAXIFS(請求管理!H:H,請求管理!B:B,A32)),""))</f>
        <v/>
      </c>
      <c r="AC32" s="823" t="str">
        <f>IF(I32="","",IFERROR(IF(COUNTIFS(請求管理!B:B,A32)=0,"",SUMIFS(請求管理!I:I,請求管理!B:B,A32)),""))</f>
        <v/>
      </c>
      <c r="AD32" s="827"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7" t="str">
        <f t="shared" ca="1" si="3"/>
        <v/>
      </c>
      <c r="W33" s="828" t="str">
        <f t="shared" ca="1" si="4"/>
        <v/>
      </c>
      <c r="X33" s="820" t="str">
        <f>IF(I33="","",IF(COUNTIFS(請求管理!B:B,A33)&gt;0,"✅発行済","❌未発行"))</f>
        <v/>
      </c>
      <c r="Y33" s="821" t="str">
        <f>IF(I33="","",IFERROR(IF(COUNTIFS(請求管理!B:B,A33)=0,"",_xlfn.MAXIFS(請求管理!F:F,請求管理!B:B,A33)),""))</f>
        <v/>
      </c>
      <c r="Z33" s="823" t="str">
        <f>IF(I33="","",IFERROR(IF(COUNTIFS(請求管理!B:B,A33)=0,"",SUMIFS(請求管理!G:G,請求管理!B:B,A33)),""))</f>
        <v/>
      </c>
      <c r="AA33" s="820" t="str">
        <f>IF(I33="","",IF(COUNTIFS(請求管理!B:B,A33)=0,"",IF(SUMIFS(請求管理!J:J,請求管理!B:B,A33)&lt;=0,"✅入金済","❌未入金")))</f>
        <v/>
      </c>
      <c r="AB33" s="821" t="str">
        <f>IF(I33="","",IFERROR(IF(COUNTIFS(請求管理!B:B,A33)=0,"",_xlfn.MAXIFS(請求管理!H:H,請求管理!B:B,A33)),""))</f>
        <v/>
      </c>
      <c r="AC33" s="823" t="str">
        <f>IF(I33="","",IFERROR(IF(COUNTIFS(請求管理!B:B,A33)=0,"",SUMIFS(請求管理!I:I,請求管理!B:B,A33)),""))</f>
        <v/>
      </c>
      <c r="AD33" s="827"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7" t="str">
        <f t="shared" ca="1" si="3"/>
        <v/>
      </c>
      <c r="W34" s="828" t="str">
        <f t="shared" ca="1" si="4"/>
        <v/>
      </c>
      <c r="X34" s="820" t="str">
        <f>IF(I34="","",IF(COUNTIFS(請求管理!B:B,A34)&gt;0,"✅発行済","❌未発行"))</f>
        <v/>
      </c>
      <c r="Y34" s="821" t="str">
        <f>IF(I34="","",IFERROR(IF(COUNTIFS(請求管理!B:B,A34)=0,"",_xlfn.MAXIFS(請求管理!F:F,請求管理!B:B,A34)),""))</f>
        <v/>
      </c>
      <c r="Z34" s="823" t="str">
        <f>IF(I34="","",IFERROR(IF(COUNTIFS(請求管理!B:B,A34)=0,"",SUMIFS(請求管理!G:G,請求管理!B:B,A34)),""))</f>
        <v/>
      </c>
      <c r="AA34" s="820" t="str">
        <f>IF(I34="","",IF(COUNTIFS(請求管理!B:B,A34)=0,"",IF(SUMIFS(請求管理!J:J,請求管理!B:B,A34)&lt;=0,"✅入金済","❌未入金")))</f>
        <v/>
      </c>
      <c r="AB34" s="821" t="str">
        <f>IF(I34="","",IFERROR(IF(COUNTIFS(請求管理!B:B,A34)=0,"",_xlfn.MAXIFS(請求管理!H:H,請求管理!B:B,A34)),""))</f>
        <v/>
      </c>
      <c r="AC34" s="823" t="str">
        <f>IF(I34="","",IFERROR(IF(COUNTIFS(請求管理!B:B,A34)=0,"",SUMIFS(請求管理!I:I,請求管理!B:B,A34)),""))</f>
        <v/>
      </c>
      <c r="AD34" s="827"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7" t="str">
        <f t="shared" ca="1" si="3"/>
        <v/>
      </c>
      <c r="W35" s="828" t="str">
        <f t="shared" ca="1" si="4"/>
        <v/>
      </c>
      <c r="X35" s="820" t="str">
        <f>IF(I35="","",IF(COUNTIFS(請求管理!B:B,A35)&gt;0,"✅発行済","❌未発行"))</f>
        <v/>
      </c>
      <c r="Y35" s="821" t="str">
        <f>IF(I35="","",IFERROR(IF(COUNTIFS(請求管理!B:B,A35)=0,"",_xlfn.MAXIFS(請求管理!F:F,請求管理!B:B,A35)),""))</f>
        <v/>
      </c>
      <c r="Z35" s="823" t="str">
        <f>IF(I35="","",IFERROR(IF(COUNTIFS(請求管理!B:B,A35)=0,"",SUMIFS(請求管理!G:G,請求管理!B:B,A35)),""))</f>
        <v/>
      </c>
      <c r="AA35" s="820" t="str">
        <f>IF(I35="","",IF(COUNTIFS(請求管理!B:B,A35)=0,"",IF(SUMIFS(請求管理!J:J,請求管理!B:B,A35)&lt;=0,"✅入金済","❌未入金")))</f>
        <v/>
      </c>
      <c r="AB35" s="821" t="str">
        <f>IF(I35="","",IFERROR(IF(COUNTIFS(請求管理!B:B,A35)=0,"",_xlfn.MAXIFS(請求管理!H:H,請求管理!B:B,A35)),""))</f>
        <v/>
      </c>
      <c r="AC35" s="823" t="str">
        <f>IF(I35="","",IFERROR(IF(COUNTIFS(請求管理!B:B,A35)=0,"",SUMIFS(請求管理!I:I,請求管理!B:B,A35)),""))</f>
        <v/>
      </c>
      <c r="AD35" s="827"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7" t="str">
        <f t="shared" ca="1" si="3"/>
        <v/>
      </c>
      <c r="W36" s="828" t="str">
        <f t="shared" ca="1" si="4"/>
        <v/>
      </c>
      <c r="X36" s="820" t="str">
        <f>IF(I36="","",IF(COUNTIFS(請求管理!B:B,A36)&gt;0,"✅発行済","❌未発行"))</f>
        <v/>
      </c>
      <c r="Y36" s="821" t="str">
        <f>IF(I36="","",IFERROR(IF(COUNTIFS(請求管理!B:B,A36)=0,"",_xlfn.MAXIFS(請求管理!F:F,請求管理!B:B,A36)),""))</f>
        <v/>
      </c>
      <c r="Z36" s="823" t="str">
        <f>IF(I36="","",IFERROR(IF(COUNTIFS(請求管理!B:B,A36)=0,"",SUMIFS(請求管理!G:G,請求管理!B:B,A36)),""))</f>
        <v/>
      </c>
      <c r="AA36" s="820" t="str">
        <f>IF(I36="","",IF(COUNTIFS(請求管理!B:B,A36)=0,"",IF(SUMIFS(請求管理!J:J,請求管理!B:B,A36)&lt;=0,"✅入金済","❌未入金")))</f>
        <v/>
      </c>
      <c r="AB36" s="821" t="str">
        <f>IF(I36="","",IFERROR(IF(COUNTIFS(請求管理!B:B,A36)=0,"",_xlfn.MAXIFS(請求管理!H:H,請求管理!B:B,A36)),""))</f>
        <v/>
      </c>
      <c r="AC36" s="823" t="str">
        <f>IF(I36="","",IFERROR(IF(COUNTIFS(請求管理!B:B,A36)=0,"",SUMIFS(請求管理!I:I,請求管理!B:B,A36)),""))</f>
        <v/>
      </c>
      <c r="AD36" s="827"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7" t="str">
        <f t="shared" ca="1" si="3"/>
        <v/>
      </c>
      <c r="W37" s="828" t="str">
        <f t="shared" ca="1" si="4"/>
        <v/>
      </c>
      <c r="X37" s="820" t="str">
        <f>IF(I37="","",IF(COUNTIFS(請求管理!B:B,A37)&gt;0,"✅発行済","❌未発行"))</f>
        <v/>
      </c>
      <c r="Y37" s="821" t="str">
        <f>IF(I37="","",IFERROR(IF(COUNTIFS(請求管理!B:B,A37)=0,"",_xlfn.MAXIFS(請求管理!F:F,請求管理!B:B,A37)),""))</f>
        <v/>
      </c>
      <c r="Z37" s="823" t="str">
        <f>IF(I37="","",IFERROR(IF(COUNTIFS(請求管理!B:B,A37)=0,"",SUMIFS(請求管理!G:G,請求管理!B:B,A37)),""))</f>
        <v/>
      </c>
      <c r="AA37" s="820" t="str">
        <f>IF(I37="","",IF(COUNTIFS(請求管理!B:B,A37)=0,"",IF(SUMIFS(請求管理!J:J,請求管理!B:B,A37)&lt;=0,"✅入金済","❌未入金")))</f>
        <v/>
      </c>
      <c r="AB37" s="821" t="str">
        <f>IF(I37="","",IFERROR(IF(COUNTIFS(請求管理!B:B,A37)=0,"",_xlfn.MAXIFS(請求管理!H:H,請求管理!B:B,A37)),""))</f>
        <v/>
      </c>
      <c r="AC37" s="823" t="str">
        <f>IF(I37="","",IFERROR(IF(COUNTIFS(請求管理!B:B,A37)=0,"",SUMIFS(請求管理!I:I,請求管理!B:B,A37)),""))</f>
        <v/>
      </c>
      <c r="AD37" s="827"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7" t="str">
        <f t="shared" ca="1" si="3"/>
        <v/>
      </c>
      <c r="W38" s="828" t="str">
        <f t="shared" ca="1" si="4"/>
        <v/>
      </c>
      <c r="X38" s="820" t="str">
        <f>IF(I38="","",IF(COUNTIFS(請求管理!B:B,A38)&gt;0,"✅発行済","❌未発行"))</f>
        <v/>
      </c>
      <c r="Y38" s="821" t="str">
        <f>IF(I38="","",IFERROR(IF(COUNTIFS(請求管理!B:B,A38)=0,"",_xlfn.MAXIFS(請求管理!F:F,請求管理!B:B,A38)),""))</f>
        <v/>
      </c>
      <c r="Z38" s="823" t="str">
        <f>IF(I38="","",IFERROR(IF(COUNTIFS(請求管理!B:B,A38)=0,"",SUMIFS(請求管理!G:G,請求管理!B:B,A38)),""))</f>
        <v/>
      </c>
      <c r="AA38" s="820" t="str">
        <f>IF(I38="","",IF(COUNTIFS(請求管理!B:B,A38)=0,"",IF(SUMIFS(請求管理!J:J,請求管理!B:B,A38)&lt;=0,"✅入金済","❌未入金")))</f>
        <v/>
      </c>
      <c r="AB38" s="821" t="str">
        <f>IF(I38="","",IFERROR(IF(COUNTIFS(請求管理!B:B,A38)=0,"",_xlfn.MAXIFS(請求管理!H:H,請求管理!B:B,A38)),""))</f>
        <v/>
      </c>
      <c r="AC38" s="823" t="str">
        <f>IF(I38="","",IFERROR(IF(COUNTIFS(請求管理!B:B,A38)=0,"",SUMIFS(請求管理!I:I,請求管理!B:B,A38)),""))</f>
        <v/>
      </c>
      <c r="AD38" s="827"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7" t="str">
        <f t="shared" ca="1" si="3"/>
        <v/>
      </c>
      <c r="W39" s="828" t="str">
        <f t="shared" ca="1" si="4"/>
        <v/>
      </c>
      <c r="X39" s="820" t="str">
        <f>IF(I39="","",IF(COUNTIFS(請求管理!B:B,A39)&gt;0,"✅発行済","❌未発行"))</f>
        <v/>
      </c>
      <c r="Y39" s="821" t="str">
        <f>IF(I39="","",IFERROR(IF(COUNTIFS(請求管理!B:B,A39)=0,"",_xlfn.MAXIFS(請求管理!F:F,請求管理!B:B,A39)),""))</f>
        <v/>
      </c>
      <c r="Z39" s="823" t="str">
        <f>IF(I39="","",IFERROR(IF(COUNTIFS(請求管理!B:B,A39)=0,"",SUMIFS(請求管理!G:G,請求管理!B:B,A39)),""))</f>
        <v/>
      </c>
      <c r="AA39" s="820" t="str">
        <f>IF(I39="","",IF(COUNTIFS(請求管理!B:B,A39)=0,"",IF(SUMIFS(請求管理!J:J,請求管理!B:B,A39)&lt;=0,"✅入金済","❌未入金")))</f>
        <v/>
      </c>
      <c r="AB39" s="821" t="str">
        <f>IF(I39="","",IFERROR(IF(COUNTIFS(請求管理!B:B,A39)=0,"",_xlfn.MAXIFS(請求管理!H:H,請求管理!B:B,A39)),""))</f>
        <v/>
      </c>
      <c r="AC39" s="823" t="str">
        <f>IF(I39="","",IFERROR(IF(COUNTIFS(請求管理!B:B,A39)=0,"",SUMIFS(請求管理!I:I,請求管理!B:B,A39)),""))</f>
        <v/>
      </c>
      <c r="AD39" s="827"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7" t="str">
        <f t="shared" ca="1" si="3"/>
        <v/>
      </c>
      <c r="W40" s="828" t="str">
        <f t="shared" ca="1" si="4"/>
        <v/>
      </c>
      <c r="X40" s="820" t="str">
        <f>IF(I40="","",IF(COUNTIFS(請求管理!B:B,A40)&gt;0,"✅発行済","❌未発行"))</f>
        <v/>
      </c>
      <c r="Y40" s="821" t="str">
        <f>IF(I40="","",IFERROR(IF(COUNTIFS(請求管理!B:B,A40)=0,"",_xlfn.MAXIFS(請求管理!F:F,請求管理!B:B,A40)),""))</f>
        <v/>
      </c>
      <c r="Z40" s="823" t="str">
        <f>IF(I40="","",IFERROR(IF(COUNTIFS(請求管理!B:B,A40)=0,"",SUMIFS(請求管理!G:G,請求管理!B:B,A40)),""))</f>
        <v/>
      </c>
      <c r="AA40" s="820" t="str">
        <f>IF(I40="","",IF(COUNTIFS(請求管理!B:B,A40)=0,"",IF(SUMIFS(請求管理!J:J,請求管理!B:B,A40)&lt;=0,"✅入金済","❌未入金")))</f>
        <v/>
      </c>
      <c r="AB40" s="821" t="str">
        <f>IF(I40="","",IFERROR(IF(COUNTIFS(請求管理!B:B,A40)=0,"",_xlfn.MAXIFS(請求管理!H:H,請求管理!B:B,A40)),""))</f>
        <v/>
      </c>
      <c r="AC40" s="823" t="str">
        <f>IF(I40="","",IFERROR(IF(COUNTIFS(請求管理!B:B,A40)=0,"",SUMIFS(請求管理!I:I,請求管理!B:B,A40)),""))</f>
        <v/>
      </c>
      <c r="AD40" s="827"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7" t="str">
        <f t="shared" ca="1" si="3"/>
        <v/>
      </c>
      <c r="W41" s="828" t="str">
        <f t="shared" ca="1" si="4"/>
        <v/>
      </c>
      <c r="X41" s="820" t="str">
        <f>IF(I41="","",IF(COUNTIFS(請求管理!B:B,A41)&gt;0,"✅発行済","❌未発行"))</f>
        <v/>
      </c>
      <c r="Y41" s="821" t="str">
        <f>IF(I41="","",IFERROR(IF(COUNTIFS(請求管理!B:B,A41)=0,"",_xlfn.MAXIFS(請求管理!F:F,請求管理!B:B,A41)),""))</f>
        <v/>
      </c>
      <c r="Z41" s="823" t="str">
        <f>IF(I41="","",IFERROR(IF(COUNTIFS(請求管理!B:B,A41)=0,"",SUMIFS(請求管理!G:G,請求管理!B:B,A41)),""))</f>
        <v/>
      </c>
      <c r="AA41" s="820" t="str">
        <f>IF(I41="","",IF(COUNTIFS(請求管理!B:B,A41)=0,"",IF(SUMIFS(請求管理!J:J,請求管理!B:B,A41)&lt;=0,"✅入金済","❌未入金")))</f>
        <v/>
      </c>
      <c r="AB41" s="821" t="str">
        <f>IF(I41="","",IFERROR(IF(COUNTIFS(請求管理!B:B,A41)=0,"",_xlfn.MAXIFS(請求管理!H:H,請求管理!B:B,A41)),""))</f>
        <v/>
      </c>
      <c r="AC41" s="823" t="str">
        <f>IF(I41="","",IFERROR(IF(COUNTIFS(請求管理!B:B,A41)=0,"",SUMIFS(請求管理!I:I,請求管理!B:B,A41)),""))</f>
        <v/>
      </c>
      <c r="AD41" s="827"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7" t="str">
        <f t="shared" ca="1" si="3"/>
        <v/>
      </c>
      <c r="W42" s="828" t="str">
        <f t="shared" ca="1" si="4"/>
        <v/>
      </c>
      <c r="X42" s="820" t="str">
        <f>IF(I42="","",IF(COUNTIFS(請求管理!B:B,A42)&gt;0,"✅発行済","❌未発行"))</f>
        <v/>
      </c>
      <c r="Y42" s="821" t="str">
        <f>IF(I42="","",IFERROR(IF(COUNTIFS(請求管理!B:B,A42)=0,"",_xlfn.MAXIFS(請求管理!F:F,請求管理!B:B,A42)),""))</f>
        <v/>
      </c>
      <c r="Z42" s="823" t="str">
        <f>IF(I42="","",IFERROR(IF(COUNTIFS(請求管理!B:B,A42)=0,"",SUMIFS(請求管理!G:G,請求管理!B:B,A42)),""))</f>
        <v/>
      </c>
      <c r="AA42" s="820" t="str">
        <f>IF(I42="","",IF(COUNTIFS(請求管理!B:B,A42)=0,"",IF(SUMIFS(請求管理!J:J,請求管理!B:B,A42)&lt;=0,"✅入金済","❌未入金")))</f>
        <v/>
      </c>
      <c r="AB42" s="821" t="str">
        <f>IF(I42="","",IFERROR(IF(COUNTIFS(請求管理!B:B,A42)=0,"",_xlfn.MAXIFS(請求管理!H:H,請求管理!B:B,A42)),""))</f>
        <v/>
      </c>
      <c r="AC42" s="823" t="str">
        <f>IF(I42="","",IFERROR(IF(COUNTIFS(請求管理!B:B,A42)=0,"",SUMIFS(請求管理!I:I,請求管理!B:B,A42)),""))</f>
        <v/>
      </c>
      <c r="AD42" s="827"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7" t="str">
        <f t="shared" ca="1" si="3"/>
        <v/>
      </c>
      <c r="W43" s="828" t="str">
        <f t="shared" ca="1" si="4"/>
        <v/>
      </c>
      <c r="X43" s="820" t="str">
        <f>IF(I43="","",IF(COUNTIFS(請求管理!B:B,A43)&gt;0,"✅発行済","❌未発行"))</f>
        <v/>
      </c>
      <c r="Y43" s="821" t="str">
        <f>IF(I43="","",IFERROR(IF(COUNTIFS(請求管理!B:B,A43)=0,"",_xlfn.MAXIFS(請求管理!F:F,請求管理!B:B,A43)),""))</f>
        <v/>
      </c>
      <c r="Z43" s="823" t="str">
        <f>IF(I43="","",IFERROR(IF(COUNTIFS(請求管理!B:B,A43)=0,"",SUMIFS(請求管理!G:G,請求管理!B:B,A43)),""))</f>
        <v/>
      </c>
      <c r="AA43" s="820" t="str">
        <f>IF(I43="","",IF(COUNTIFS(請求管理!B:B,A43)=0,"",IF(SUMIFS(請求管理!J:J,請求管理!B:B,A43)&lt;=0,"✅入金済","❌未入金")))</f>
        <v/>
      </c>
      <c r="AB43" s="821" t="str">
        <f>IF(I43="","",IFERROR(IF(COUNTIFS(請求管理!B:B,A43)=0,"",_xlfn.MAXIFS(請求管理!H:H,請求管理!B:B,A43)),""))</f>
        <v/>
      </c>
      <c r="AC43" s="823" t="str">
        <f>IF(I43="","",IFERROR(IF(COUNTIFS(請求管理!B:B,A43)=0,"",SUMIFS(請求管理!I:I,請求管理!B:B,A43)),""))</f>
        <v/>
      </c>
      <c r="AD43" s="827"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7" t="str">
        <f t="shared" ca="1" si="3"/>
        <v/>
      </c>
      <c r="W44" s="828" t="str">
        <f t="shared" ca="1" si="4"/>
        <v/>
      </c>
      <c r="X44" s="820" t="str">
        <f>IF(I44="","",IF(COUNTIFS(請求管理!B:B,A44)&gt;0,"✅発行済","❌未発行"))</f>
        <v/>
      </c>
      <c r="Y44" s="821" t="str">
        <f>IF(I44="","",IFERROR(IF(COUNTIFS(請求管理!B:B,A44)=0,"",_xlfn.MAXIFS(請求管理!F:F,請求管理!B:B,A44)),""))</f>
        <v/>
      </c>
      <c r="Z44" s="823" t="str">
        <f>IF(I44="","",IFERROR(IF(COUNTIFS(請求管理!B:B,A44)=0,"",SUMIFS(請求管理!G:G,請求管理!B:B,A44)),""))</f>
        <v/>
      </c>
      <c r="AA44" s="820" t="str">
        <f>IF(I44="","",IF(COUNTIFS(請求管理!B:B,A44)=0,"",IF(SUMIFS(請求管理!J:J,請求管理!B:B,A44)&lt;=0,"✅入金済","❌未入金")))</f>
        <v/>
      </c>
      <c r="AB44" s="821" t="str">
        <f>IF(I44="","",IFERROR(IF(COUNTIFS(請求管理!B:B,A44)=0,"",_xlfn.MAXIFS(請求管理!H:H,請求管理!B:B,A44)),""))</f>
        <v/>
      </c>
      <c r="AC44" s="823" t="str">
        <f>IF(I44="","",IFERROR(IF(COUNTIFS(請求管理!B:B,A44)=0,"",SUMIFS(請求管理!I:I,請求管理!B:B,A44)),""))</f>
        <v/>
      </c>
      <c r="AD44" s="827"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7" t="str">
        <f t="shared" ca="1" si="3"/>
        <v/>
      </c>
      <c r="W45" s="828" t="str">
        <f t="shared" ca="1" si="4"/>
        <v/>
      </c>
      <c r="X45" s="820" t="str">
        <f>IF(I45="","",IF(COUNTIFS(請求管理!B:B,A45)&gt;0,"✅発行済","❌未発行"))</f>
        <v/>
      </c>
      <c r="Y45" s="821" t="str">
        <f>IF(I45="","",IFERROR(IF(COUNTIFS(請求管理!B:B,A45)=0,"",_xlfn.MAXIFS(請求管理!F:F,請求管理!B:B,A45)),""))</f>
        <v/>
      </c>
      <c r="Z45" s="823" t="str">
        <f>IF(I45="","",IFERROR(IF(COUNTIFS(請求管理!B:B,A45)=0,"",SUMIFS(請求管理!G:G,請求管理!B:B,A45)),""))</f>
        <v/>
      </c>
      <c r="AA45" s="820" t="str">
        <f>IF(I45="","",IF(COUNTIFS(請求管理!B:B,A45)=0,"",IF(SUMIFS(請求管理!J:J,請求管理!B:B,A45)&lt;=0,"✅入金済","❌未入金")))</f>
        <v/>
      </c>
      <c r="AB45" s="821" t="str">
        <f>IF(I45="","",IFERROR(IF(COUNTIFS(請求管理!B:B,A45)=0,"",_xlfn.MAXIFS(請求管理!H:H,請求管理!B:B,A45)),""))</f>
        <v/>
      </c>
      <c r="AC45" s="823" t="str">
        <f>IF(I45="","",IFERROR(IF(COUNTIFS(請求管理!B:B,A45)=0,"",SUMIFS(請求管理!I:I,請求管理!B:B,A45)),""))</f>
        <v/>
      </c>
      <c r="AD45" s="827"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7" t="str">
        <f t="shared" ca="1" si="3"/>
        <v/>
      </c>
      <c r="W46" s="828" t="str">
        <f t="shared" ca="1" si="4"/>
        <v/>
      </c>
      <c r="X46" s="820" t="str">
        <f>IF(I46="","",IF(COUNTIFS(請求管理!B:B,A46)&gt;0,"✅発行済","❌未発行"))</f>
        <v/>
      </c>
      <c r="Y46" s="821" t="str">
        <f>IF(I46="","",IFERROR(IF(COUNTIFS(請求管理!B:B,A46)=0,"",_xlfn.MAXIFS(請求管理!F:F,請求管理!B:B,A46)),""))</f>
        <v/>
      </c>
      <c r="Z46" s="823" t="str">
        <f>IF(I46="","",IFERROR(IF(COUNTIFS(請求管理!B:B,A46)=0,"",SUMIFS(請求管理!G:G,請求管理!B:B,A46)),""))</f>
        <v/>
      </c>
      <c r="AA46" s="820" t="str">
        <f>IF(I46="","",IF(COUNTIFS(請求管理!B:B,A46)=0,"",IF(SUMIFS(請求管理!J:J,請求管理!B:B,A46)&lt;=0,"✅入金済","❌未入金")))</f>
        <v/>
      </c>
      <c r="AB46" s="821" t="str">
        <f>IF(I46="","",IFERROR(IF(COUNTIFS(請求管理!B:B,A46)=0,"",_xlfn.MAXIFS(請求管理!H:H,請求管理!B:B,A46)),""))</f>
        <v/>
      </c>
      <c r="AC46" s="823" t="str">
        <f>IF(I46="","",IFERROR(IF(COUNTIFS(請求管理!B:B,A46)=0,"",SUMIFS(請求管理!I:I,請求管理!B:B,A46)),""))</f>
        <v/>
      </c>
      <c r="AD46" s="827"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7" t="str">
        <f t="shared" ca="1" si="3"/>
        <v/>
      </c>
      <c r="W47" s="828" t="str">
        <f t="shared" ca="1" si="4"/>
        <v/>
      </c>
      <c r="X47" s="820" t="str">
        <f>IF(I47="","",IF(COUNTIFS(請求管理!B:B,A47)&gt;0,"✅発行済","❌未発行"))</f>
        <v/>
      </c>
      <c r="Y47" s="821" t="str">
        <f>IF(I47="","",IFERROR(IF(COUNTIFS(請求管理!B:B,A47)=0,"",_xlfn.MAXIFS(請求管理!F:F,請求管理!B:B,A47)),""))</f>
        <v/>
      </c>
      <c r="Z47" s="823" t="str">
        <f>IF(I47="","",IFERROR(IF(COUNTIFS(請求管理!B:B,A47)=0,"",SUMIFS(請求管理!G:G,請求管理!B:B,A47)),""))</f>
        <v/>
      </c>
      <c r="AA47" s="820" t="str">
        <f>IF(I47="","",IF(COUNTIFS(請求管理!B:B,A47)=0,"",IF(SUMIFS(請求管理!J:J,請求管理!B:B,A47)&lt;=0,"✅入金済","❌未入金")))</f>
        <v/>
      </c>
      <c r="AB47" s="821" t="str">
        <f>IF(I47="","",IFERROR(IF(COUNTIFS(請求管理!B:B,A47)=0,"",_xlfn.MAXIFS(請求管理!H:H,請求管理!B:B,A47)),""))</f>
        <v/>
      </c>
      <c r="AC47" s="823" t="str">
        <f>IF(I47="","",IFERROR(IF(COUNTIFS(請求管理!B:B,A47)=0,"",SUMIFS(請求管理!I:I,請求管理!B:B,A47)),""))</f>
        <v/>
      </c>
      <c r="AD47" s="827"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7" t="str">
        <f t="shared" ca="1" si="3"/>
        <v/>
      </c>
      <c r="W48" s="828" t="str">
        <f t="shared" ca="1" si="4"/>
        <v/>
      </c>
      <c r="X48" s="820" t="str">
        <f>IF(I48="","",IF(COUNTIFS(請求管理!B:B,A48)&gt;0,"✅発行済","❌未発行"))</f>
        <v/>
      </c>
      <c r="Y48" s="821" t="str">
        <f>IF(I48="","",IFERROR(IF(COUNTIFS(請求管理!B:B,A48)=0,"",_xlfn.MAXIFS(請求管理!F:F,請求管理!B:B,A48)),""))</f>
        <v/>
      </c>
      <c r="Z48" s="823" t="str">
        <f>IF(I48="","",IFERROR(IF(COUNTIFS(請求管理!B:B,A48)=0,"",SUMIFS(請求管理!G:G,請求管理!B:B,A48)),""))</f>
        <v/>
      </c>
      <c r="AA48" s="820" t="str">
        <f>IF(I48="","",IF(COUNTIFS(請求管理!B:B,A48)=0,"",IF(SUMIFS(請求管理!J:J,請求管理!B:B,A48)&lt;=0,"✅入金済","❌未入金")))</f>
        <v/>
      </c>
      <c r="AB48" s="821" t="str">
        <f>IF(I48="","",IFERROR(IF(COUNTIFS(請求管理!B:B,A48)=0,"",_xlfn.MAXIFS(請求管理!H:H,請求管理!B:B,A48)),""))</f>
        <v/>
      </c>
      <c r="AC48" s="823" t="str">
        <f>IF(I48="","",IFERROR(IF(COUNTIFS(請求管理!B:B,A48)=0,"",SUMIFS(請求管理!I:I,請求管理!B:B,A48)),""))</f>
        <v/>
      </c>
      <c r="AD48" s="827"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7" t="str">
        <f t="shared" ca="1" si="3"/>
        <v/>
      </c>
      <c r="W49" s="828" t="str">
        <f t="shared" ca="1" si="4"/>
        <v/>
      </c>
      <c r="X49" s="820" t="str">
        <f>IF(I49="","",IF(COUNTIFS(請求管理!B:B,A49)&gt;0,"✅発行済","❌未発行"))</f>
        <v/>
      </c>
      <c r="Y49" s="821" t="str">
        <f>IF(I49="","",IFERROR(IF(COUNTIFS(請求管理!B:B,A49)=0,"",_xlfn.MAXIFS(請求管理!F:F,請求管理!B:B,A49)),""))</f>
        <v/>
      </c>
      <c r="Z49" s="823" t="str">
        <f>IF(I49="","",IFERROR(IF(COUNTIFS(請求管理!B:B,A49)=0,"",SUMIFS(請求管理!G:G,請求管理!B:B,A49)),""))</f>
        <v/>
      </c>
      <c r="AA49" s="820" t="str">
        <f>IF(I49="","",IF(COUNTIFS(請求管理!B:B,A49)=0,"",IF(SUMIFS(請求管理!J:J,請求管理!B:B,A49)&lt;=0,"✅入金済","❌未入金")))</f>
        <v/>
      </c>
      <c r="AB49" s="821" t="str">
        <f>IF(I49="","",IFERROR(IF(COUNTIFS(請求管理!B:B,A49)=0,"",_xlfn.MAXIFS(請求管理!H:H,請求管理!B:B,A49)),""))</f>
        <v/>
      </c>
      <c r="AC49" s="823" t="str">
        <f>IF(I49="","",IFERROR(IF(COUNTIFS(請求管理!B:B,A49)=0,"",SUMIFS(請求管理!I:I,請求管理!B:B,A49)),""))</f>
        <v/>
      </c>
      <c r="AD49" s="827"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7" t="str">
        <f t="shared" ca="1" si="3"/>
        <v/>
      </c>
      <c r="W50" s="828" t="str">
        <f t="shared" ca="1" si="4"/>
        <v/>
      </c>
      <c r="X50" s="820" t="str">
        <f>IF(I50="","",IF(COUNTIFS(請求管理!B:B,A50)&gt;0,"✅発行済","❌未発行"))</f>
        <v/>
      </c>
      <c r="Y50" s="821" t="str">
        <f>IF(I50="","",IFERROR(IF(COUNTIFS(請求管理!B:B,A50)=0,"",_xlfn.MAXIFS(請求管理!F:F,請求管理!B:B,A50)),""))</f>
        <v/>
      </c>
      <c r="Z50" s="823" t="str">
        <f>IF(I50="","",IFERROR(IF(COUNTIFS(請求管理!B:B,A50)=0,"",SUMIFS(請求管理!G:G,請求管理!B:B,A50)),""))</f>
        <v/>
      </c>
      <c r="AA50" s="820" t="str">
        <f>IF(I50="","",IF(COUNTIFS(請求管理!B:B,A50)=0,"",IF(SUMIFS(請求管理!J:J,請求管理!B:B,A50)&lt;=0,"✅入金済","❌未入金")))</f>
        <v/>
      </c>
      <c r="AB50" s="821" t="str">
        <f>IF(I50="","",IFERROR(IF(COUNTIFS(請求管理!B:B,A50)=0,"",_xlfn.MAXIFS(請求管理!H:H,請求管理!B:B,A50)),""))</f>
        <v/>
      </c>
      <c r="AC50" s="823" t="str">
        <f>IF(I50="","",IFERROR(IF(COUNTIFS(請求管理!B:B,A50)=0,"",SUMIFS(請求管理!I:I,請求管理!B:B,A50)),""))</f>
        <v/>
      </c>
      <c r="AD50" s="827"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7" t="str">
        <f t="shared" ca="1" si="3"/>
        <v/>
      </c>
      <c r="W51" s="828" t="str">
        <f t="shared" ca="1" si="4"/>
        <v/>
      </c>
      <c r="X51" s="820" t="str">
        <f>IF(I51="","",IF(COUNTIFS(請求管理!B:B,A51)&gt;0,"✅発行済","❌未発行"))</f>
        <v/>
      </c>
      <c r="Y51" s="821" t="str">
        <f>IF(I51="","",IFERROR(IF(COUNTIFS(請求管理!B:B,A51)=0,"",_xlfn.MAXIFS(請求管理!F:F,請求管理!B:B,A51)),""))</f>
        <v/>
      </c>
      <c r="Z51" s="823" t="str">
        <f>IF(I51="","",IFERROR(IF(COUNTIFS(請求管理!B:B,A51)=0,"",SUMIFS(請求管理!G:G,請求管理!B:B,A51)),""))</f>
        <v/>
      </c>
      <c r="AA51" s="820" t="str">
        <f>IF(I51="","",IF(COUNTIFS(請求管理!B:B,A51)=0,"",IF(SUMIFS(請求管理!J:J,請求管理!B:B,A51)&lt;=0,"✅入金済","❌未入金")))</f>
        <v/>
      </c>
      <c r="AB51" s="821" t="str">
        <f>IF(I51="","",IFERROR(IF(COUNTIFS(請求管理!B:B,A51)=0,"",_xlfn.MAXIFS(請求管理!H:H,請求管理!B:B,A51)),""))</f>
        <v/>
      </c>
      <c r="AC51" s="823" t="str">
        <f>IF(I51="","",IFERROR(IF(COUNTIFS(請求管理!B:B,A51)=0,"",SUMIFS(請求管理!I:I,請求管理!B:B,A51)),""))</f>
        <v/>
      </c>
      <c r="AD51" s="827"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7" t="str">
        <f t="shared" ca="1" si="3"/>
        <v/>
      </c>
      <c r="W52" s="828" t="str">
        <f t="shared" ca="1" si="4"/>
        <v/>
      </c>
      <c r="X52" s="820" t="str">
        <f>IF(I52="","",IF(COUNTIFS(請求管理!B:B,A52)&gt;0,"✅発行済","❌未発行"))</f>
        <v/>
      </c>
      <c r="Y52" s="821" t="str">
        <f>IF(I52="","",IFERROR(IF(COUNTIFS(請求管理!B:B,A52)=0,"",_xlfn.MAXIFS(請求管理!F:F,請求管理!B:B,A52)),""))</f>
        <v/>
      </c>
      <c r="Z52" s="823" t="str">
        <f>IF(I52="","",IFERROR(IF(COUNTIFS(請求管理!B:B,A52)=0,"",SUMIFS(請求管理!G:G,請求管理!B:B,A52)),""))</f>
        <v/>
      </c>
      <c r="AA52" s="820" t="str">
        <f>IF(I52="","",IF(COUNTIFS(請求管理!B:B,A52)=0,"",IF(SUMIFS(請求管理!J:J,請求管理!B:B,A52)&lt;=0,"✅入金済","❌未入金")))</f>
        <v/>
      </c>
      <c r="AB52" s="821" t="str">
        <f>IF(I52="","",IFERROR(IF(COUNTIFS(請求管理!B:B,A52)=0,"",_xlfn.MAXIFS(請求管理!H:H,請求管理!B:B,A52)),""))</f>
        <v/>
      </c>
      <c r="AC52" s="823" t="str">
        <f>IF(I52="","",IFERROR(IF(COUNTIFS(請求管理!B:B,A52)=0,"",SUMIFS(請求管理!I:I,請求管理!B:B,A52)),""))</f>
        <v/>
      </c>
      <c r="AD52" s="827"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7" t="str">
        <f t="shared" ca="1" si="3"/>
        <v/>
      </c>
      <c r="W53" s="828" t="str">
        <f t="shared" ca="1" si="4"/>
        <v/>
      </c>
      <c r="X53" s="820" t="str">
        <f>IF(I53="","",IF(COUNTIFS(請求管理!B:B,A53)&gt;0,"✅発行済","❌未発行"))</f>
        <v/>
      </c>
      <c r="Y53" s="821" t="str">
        <f>IF(I53="","",IFERROR(IF(COUNTIFS(請求管理!B:B,A53)=0,"",_xlfn.MAXIFS(請求管理!F:F,請求管理!B:B,A53)),""))</f>
        <v/>
      </c>
      <c r="Z53" s="823" t="str">
        <f>IF(I53="","",IFERROR(IF(COUNTIFS(請求管理!B:B,A53)=0,"",SUMIFS(請求管理!G:G,請求管理!B:B,A53)),""))</f>
        <v/>
      </c>
      <c r="AA53" s="820" t="str">
        <f>IF(I53="","",IF(COUNTIFS(請求管理!B:B,A53)=0,"",IF(SUMIFS(請求管理!J:J,請求管理!B:B,A53)&lt;=0,"✅入金済","❌未入金")))</f>
        <v/>
      </c>
      <c r="AB53" s="821" t="str">
        <f>IF(I53="","",IFERROR(IF(COUNTIFS(請求管理!B:B,A53)=0,"",_xlfn.MAXIFS(請求管理!H:H,請求管理!B:B,A53)),""))</f>
        <v/>
      </c>
      <c r="AC53" s="823" t="str">
        <f>IF(I53="","",IFERROR(IF(COUNTIFS(請求管理!B:B,A53)=0,"",SUMIFS(請求管理!I:I,請求管理!B:B,A53)),""))</f>
        <v/>
      </c>
      <c r="AD53" s="827"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7" t="str">
        <f t="shared" ca="1" si="3"/>
        <v/>
      </c>
      <c r="W54" s="828" t="str">
        <f t="shared" ca="1" si="4"/>
        <v/>
      </c>
      <c r="X54" s="820" t="str">
        <f>IF(I54="","",IF(COUNTIFS(請求管理!B:B,A54)&gt;0,"✅発行済","❌未発行"))</f>
        <v/>
      </c>
      <c r="Y54" s="821" t="str">
        <f>IF(I54="","",IFERROR(IF(COUNTIFS(請求管理!B:B,A54)=0,"",_xlfn.MAXIFS(請求管理!F:F,請求管理!B:B,A54)),""))</f>
        <v/>
      </c>
      <c r="Z54" s="823" t="str">
        <f>IF(I54="","",IFERROR(IF(COUNTIFS(請求管理!B:B,A54)=0,"",SUMIFS(請求管理!G:G,請求管理!B:B,A54)),""))</f>
        <v/>
      </c>
      <c r="AA54" s="820" t="str">
        <f>IF(I54="","",IF(COUNTIFS(請求管理!B:B,A54)=0,"",IF(SUMIFS(請求管理!J:J,請求管理!B:B,A54)&lt;=0,"✅入金済","❌未入金")))</f>
        <v/>
      </c>
      <c r="AB54" s="821" t="str">
        <f>IF(I54="","",IFERROR(IF(COUNTIFS(請求管理!B:B,A54)=0,"",_xlfn.MAXIFS(請求管理!H:H,請求管理!B:B,A54)),""))</f>
        <v/>
      </c>
      <c r="AC54" s="823" t="str">
        <f>IF(I54="","",IFERROR(IF(COUNTIFS(請求管理!B:B,A54)=0,"",SUMIFS(請求管理!I:I,請求管理!B:B,A54)),""))</f>
        <v/>
      </c>
      <c r="AD54" s="827"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7" t="str">
        <f t="shared" ca="1" si="3"/>
        <v/>
      </c>
      <c r="W55" s="828" t="str">
        <f t="shared" ca="1" si="4"/>
        <v/>
      </c>
      <c r="X55" s="820" t="str">
        <f>IF(I55="","",IF(COUNTIFS(請求管理!B:B,A55)&gt;0,"✅発行済","❌未発行"))</f>
        <v/>
      </c>
      <c r="Y55" s="821" t="str">
        <f>IF(I55="","",IFERROR(IF(COUNTIFS(請求管理!B:B,A55)=0,"",_xlfn.MAXIFS(請求管理!F:F,請求管理!B:B,A55)),""))</f>
        <v/>
      </c>
      <c r="Z55" s="823" t="str">
        <f>IF(I55="","",IFERROR(IF(COUNTIFS(請求管理!B:B,A55)=0,"",SUMIFS(請求管理!G:G,請求管理!B:B,A55)),""))</f>
        <v/>
      </c>
      <c r="AA55" s="820" t="str">
        <f>IF(I55="","",IF(COUNTIFS(請求管理!B:B,A55)=0,"",IF(SUMIFS(請求管理!J:J,請求管理!B:B,A55)&lt;=0,"✅入金済","❌未入金")))</f>
        <v/>
      </c>
      <c r="AB55" s="821" t="str">
        <f>IF(I55="","",IFERROR(IF(COUNTIFS(請求管理!B:B,A55)=0,"",_xlfn.MAXIFS(請求管理!H:H,請求管理!B:B,A55)),""))</f>
        <v/>
      </c>
      <c r="AC55" s="823" t="str">
        <f>IF(I55="","",IFERROR(IF(COUNTIFS(請求管理!B:B,A55)=0,"",SUMIFS(請求管理!I:I,請求管理!B:B,A55)),""))</f>
        <v/>
      </c>
      <c r="AD55" s="827"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7" t="str">
        <f t="shared" ca="1" si="3"/>
        <v/>
      </c>
      <c r="W56" s="828" t="str">
        <f t="shared" ca="1" si="4"/>
        <v/>
      </c>
      <c r="X56" s="820" t="str">
        <f>IF(I56="","",IF(COUNTIFS(請求管理!B:B,A56)&gt;0,"✅発行済","❌未発行"))</f>
        <v/>
      </c>
      <c r="Y56" s="821" t="str">
        <f>IF(I56="","",IFERROR(IF(COUNTIFS(請求管理!B:B,A56)=0,"",_xlfn.MAXIFS(請求管理!F:F,請求管理!B:B,A56)),""))</f>
        <v/>
      </c>
      <c r="Z56" s="823" t="str">
        <f>IF(I56="","",IFERROR(IF(COUNTIFS(請求管理!B:B,A56)=0,"",SUMIFS(請求管理!G:G,請求管理!B:B,A56)),""))</f>
        <v/>
      </c>
      <c r="AA56" s="820" t="str">
        <f>IF(I56="","",IF(COUNTIFS(請求管理!B:B,A56)=0,"",IF(SUMIFS(請求管理!J:J,請求管理!B:B,A56)&lt;=0,"✅入金済","❌未入金")))</f>
        <v/>
      </c>
      <c r="AB56" s="821" t="str">
        <f>IF(I56="","",IFERROR(IF(COUNTIFS(請求管理!B:B,A56)=0,"",_xlfn.MAXIFS(請求管理!H:H,請求管理!B:B,A56)),""))</f>
        <v/>
      </c>
      <c r="AC56" s="823" t="str">
        <f>IF(I56="","",IFERROR(IF(COUNTIFS(請求管理!B:B,A56)=0,"",SUMIFS(請求管理!I:I,請求管理!B:B,A56)),""))</f>
        <v/>
      </c>
      <c r="AD56" s="827"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7" t="str">
        <f t="shared" ca="1" si="3"/>
        <v/>
      </c>
      <c r="W57" s="828" t="str">
        <f t="shared" ca="1" si="4"/>
        <v/>
      </c>
      <c r="X57" s="820" t="str">
        <f>IF(I57="","",IF(COUNTIFS(請求管理!B:B,A57)&gt;0,"✅発行済","❌未発行"))</f>
        <v/>
      </c>
      <c r="Y57" s="821" t="str">
        <f>IF(I57="","",IFERROR(IF(COUNTIFS(請求管理!B:B,A57)=0,"",_xlfn.MAXIFS(請求管理!F:F,請求管理!B:B,A57)),""))</f>
        <v/>
      </c>
      <c r="Z57" s="823" t="str">
        <f>IF(I57="","",IFERROR(IF(COUNTIFS(請求管理!B:B,A57)=0,"",SUMIFS(請求管理!G:G,請求管理!B:B,A57)),""))</f>
        <v/>
      </c>
      <c r="AA57" s="820" t="str">
        <f>IF(I57="","",IF(COUNTIFS(請求管理!B:B,A57)=0,"",IF(SUMIFS(請求管理!J:J,請求管理!B:B,A57)&lt;=0,"✅入金済","❌未入金")))</f>
        <v/>
      </c>
      <c r="AB57" s="821" t="str">
        <f>IF(I57="","",IFERROR(IF(COUNTIFS(請求管理!B:B,A57)=0,"",_xlfn.MAXIFS(請求管理!H:H,請求管理!B:B,A57)),""))</f>
        <v/>
      </c>
      <c r="AC57" s="823" t="str">
        <f>IF(I57="","",IFERROR(IF(COUNTIFS(請求管理!B:B,A57)=0,"",SUMIFS(請求管理!I:I,請求管理!B:B,A57)),""))</f>
        <v/>
      </c>
      <c r="AD57" s="827"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7" t="str">
        <f t="shared" ca="1" si="3"/>
        <v/>
      </c>
      <c r="W58" s="828" t="str">
        <f t="shared" ca="1" si="4"/>
        <v/>
      </c>
      <c r="X58" s="820" t="str">
        <f>IF(I58="","",IF(COUNTIFS(請求管理!B:B,A58)&gt;0,"✅発行済","❌未発行"))</f>
        <v/>
      </c>
      <c r="Y58" s="821" t="str">
        <f>IF(I58="","",IFERROR(IF(COUNTIFS(請求管理!B:B,A58)=0,"",_xlfn.MAXIFS(請求管理!F:F,請求管理!B:B,A58)),""))</f>
        <v/>
      </c>
      <c r="Z58" s="823" t="str">
        <f>IF(I58="","",IFERROR(IF(COUNTIFS(請求管理!B:B,A58)=0,"",SUMIFS(請求管理!G:G,請求管理!B:B,A58)),""))</f>
        <v/>
      </c>
      <c r="AA58" s="820" t="str">
        <f>IF(I58="","",IF(COUNTIFS(請求管理!B:B,A58)=0,"",IF(SUMIFS(請求管理!J:J,請求管理!B:B,A58)&lt;=0,"✅入金済","❌未入金")))</f>
        <v/>
      </c>
      <c r="AB58" s="821" t="str">
        <f>IF(I58="","",IFERROR(IF(COUNTIFS(請求管理!B:B,A58)=0,"",_xlfn.MAXIFS(請求管理!H:H,請求管理!B:B,A58)),""))</f>
        <v/>
      </c>
      <c r="AC58" s="823" t="str">
        <f>IF(I58="","",IFERROR(IF(COUNTIFS(請求管理!B:B,A58)=0,"",SUMIFS(請求管理!I:I,請求管理!B:B,A58)),""))</f>
        <v/>
      </c>
      <c r="AD58" s="827"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7" t="str">
        <f t="shared" ca="1" si="3"/>
        <v/>
      </c>
      <c r="W59" s="828" t="str">
        <f t="shared" ca="1" si="4"/>
        <v/>
      </c>
      <c r="X59" s="820" t="str">
        <f>IF(I59="","",IF(COUNTIFS(請求管理!B:B,A59)&gt;0,"✅発行済","❌未発行"))</f>
        <v/>
      </c>
      <c r="Y59" s="821" t="str">
        <f>IF(I59="","",IFERROR(IF(COUNTIFS(請求管理!B:B,A59)=0,"",_xlfn.MAXIFS(請求管理!F:F,請求管理!B:B,A59)),""))</f>
        <v/>
      </c>
      <c r="Z59" s="823" t="str">
        <f>IF(I59="","",IFERROR(IF(COUNTIFS(請求管理!B:B,A59)=0,"",SUMIFS(請求管理!G:G,請求管理!B:B,A59)),""))</f>
        <v/>
      </c>
      <c r="AA59" s="820" t="str">
        <f>IF(I59="","",IF(COUNTIFS(請求管理!B:B,A59)=0,"",IF(SUMIFS(請求管理!J:J,請求管理!B:B,A59)&lt;=0,"✅入金済","❌未入金")))</f>
        <v/>
      </c>
      <c r="AB59" s="821" t="str">
        <f>IF(I59="","",IFERROR(IF(COUNTIFS(請求管理!B:B,A59)=0,"",_xlfn.MAXIFS(請求管理!H:H,請求管理!B:B,A59)),""))</f>
        <v/>
      </c>
      <c r="AC59" s="823" t="str">
        <f>IF(I59="","",IFERROR(IF(COUNTIFS(請求管理!B:B,A59)=0,"",SUMIFS(請求管理!I:I,請求管理!B:B,A59)),""))</f>
        <v/>
      </c>
      <c r="AD59" s="827"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7" t="str">
        <f t="shared" ca="1" si="3"/>
        <v/>
      </c>
      <c r="W60" s="828" t="str">
        <f t="shared" ca="1" si="4"/>
        <v/>
      </c>
      <c r="X60" s="820" t="str">
        <f>IF(I60="","",IF(COUNTIFS(請求管理!B:B,A60)&gt;0,"✅発行済","❌未発行"))</f>
        <v/>
      </c>
      <c r="Y60" s="821" t="str">
        <f>IF(I60="","",IFERROR(IF(COUNTIFS(請求管理!B:B,A60)=0,"",_xlfn.MAXIFS(請求管理!F:F,請求管理!B:B,A60)),""))</f>
        <v/>
      </c>
      <c r="Z60" s="823" t="str">
        <f>IF(I60="","",IFERROR(IF(COUNTIFS(請求管理!B:B,A60)=0,"",SUMIFS(請求管理!G:G,請求管理!B:B,A60)),""))</f>
        <v/>
      </c>
      <c r="AA60" s="820" t="str">
        <f>IF(I60="","",IF(COUNTIFS(請求管理!B:B,A60)=0,"",IF(SUMIFS(請求管理!J:J,請求管理!B:B,A60)&lt;=0,"✅入金済","❌未入金")))</f>
        <v/>
      </c>
      <c r="AB60" s="821" t="str">
        <f>IF(I60="","",IFERROR(IF(COUNTIFS(請求管理!B:B,A60)=0,"",_xlfn.MAXIFS(請求管理!H:H,請求管理!B:B,A60)),""))</f>
        <v/>
      </c>
      <c r="AC60" s="823" t="str">
        <f>IF(I60="","",IFERROR(IF(COUNTIFS(請求管理!B:B,A60)=0,"",SUMIFS(請求管理!I:I,請求管理!B:B,A60)),""))</f>
        <v/>
      </c>
      <c r="AD60" s="827"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7" t="str">
        <f t="shared" ca="1" si="3"/>
        <v/>
      </c>
      <c r="W61" s="828" t="str">
        <f t="shared" ca="1" si="4"/>
        <v/>
      </c>
      <c r="X61" s="820" t="str">
        <f>IF(I61="","",IF(COUNTIFS(請求管理!B:B,A61)&gt;0,"✅発行済","❌未発行"))</f>
        <v/>
      </c>
      <c r="Y61" s="821" t="str">
        <f>IF(I61="","",IFERROR(IF(COUNTIFS(請求管理!B:B,A61)=0,"",_xlfn.MAXIFS(請求管理!F:F,請求管理!B:B,A61)),""))</f>
        <v/>
      </c>
      <c r="Z61" s="823" t="str">
        <f>IF(I61="","",IFERROR(IF(COUNTIFS(請求管理!B:B,A61)=0,"",SUMIFS(請求管理!G:G,請求管理!B:B,A61)),""))</f>
        <v/>
      </c>
      <c r="AA61" s="820" t="str">
        <f>IF(I61="","",IF(COUNTIFS(請求管理!B:B,A61)=0,"",IF(SUMIFS(請求管理!J:J,請求管理!B:B,A61)&lt;=0,"✅入金済","❌未入金")))</f>
        <v/>
      </c>
      <c r="AB61" s="821" t="str">
        <f>IF(I61="","",IFERROR(IF(COUNTIFS(請求管理!B:B,A61)=0,"",_xlfn.MAXIFS(請求管理!H:H,請求管理!B:B,A61)),""))</f>
        <v/>
      </c>
      <c r="AC61" s="823" t="str">
        <f>IF(I61="","",IFERROR(IF(COUNTIFS(請求管理!B:B,A61)=0,"",SUMIFS(請求管理!I:I,請求管理!B:B,A61)),""))</f>
        <v/>
      </c>
      <c r="AD61" s="827"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7" t="str">
        <f t="shared" ca="1" si="3"/>
        <v/>
      </c>
      <c r="W62" s="828" t="str">
        <f t="shared" ca="1" si="4"/>
        <v/>
      </c>
      <c r="X62" s="820" t="str">
        <f>IF(I62="","",IF(COUNTIFS(請求管理!B:B,A62)&gt;0,"✅発行済","❌未発行"))</f>
        <v/>
      </c>
      <c r="Y62" s="821" t="str">
        <f>IF(I62="","",IFERROR(IF(COUNTIFS(請求管理!B:B,A62)=0,"",_xlfn.MAXIFS(請求管理!F:F,請求管理!B:B,A62)),""))</f>
        <v/>
      </c>
      <c r="Z62" s="823" t="str">
        <f>IF(I62="","",IFERROR(IF(COUNTIFS(請求管理!B:B,A62)=0,"",SUMIFS(請求管理!G:G,請求管理!B:B,A62)),""))</f>
        <v/>
      </c>
      <c r="AA62" s="820" t="str">
        <f>IF(I62="","",IF(COUNTIFS(請求管理!B:B,A62)=0,"",IF(SUMIFS(請求管理!J:J,請求管理!B:B,A62)&lt;=0,"✅入金済","❌未入金")))</f>
        <v/>
      </c>
      <c r="AB62" s="821" t="str">
        <f>IF(I62="","",IFERROR(IF(COUNTIFS(請求管理!B:B,A62)=0,"",_xlfn.MAXIFS(請求管理!H:H,請求管理!B:B,A62)),""))</f>
        <v/>
      </c>
      <c r="AC62" s="823" t="str">
        <f>IF(I62="","",IFERROR(IF(COUNTIFS(請求管理!B:B,A62)=0,"",SUMIFS(請求管理!I:I,請求管理!B:B,A62)),""))</f>
        <v/>
      </c>
      <c r="AD62" s="827"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7" t="str">
        <f t="shared" ca="1" si="3"/>
        <v/>
      </c>
      <c r="W63" s="828" t="str">
        <f t="shared" ca="1" si="4"/>
        <v/>
      </c>
      <c r="X63" s="820" t="str">
        <f>IF(I63="","",IF(COUNTIFS(請求管理!B:B,A63)&gt;0,"✅発行済","❌未発行"))</f>
        <v/>
      </c>
      <c r="Y63" s="821" t="str">
        <f>IF(I63="","",IFERROR(IF(COUNTIFS(請求管理!B:B,A63)=0,"",_xlfn.MAXIFS(請求管理!F:F,請求管理!B:B,A63)),""))</f>
        <v/>
      </c>
      <c r="Z63" s="823" t="str">
        <f>IF(I63="","",IFERROR(IF(COUNTIFS(請求管理!B:B,A63)=0,"",SUMIFS(請求管理!G:G,請求管理!B:B,A63)),""))</f>
        <v/>
      </c>
      <c r="AA63" s="820" t="str">
        <f>IF(I63="","",IF(COUNTIFS(請求管理!B:B,A63)=0,"",IF(SUMIFS(請求管理!J:J,請求管理!B:B,A63)&lt;=0,"✅入金済","❌未入金")))</f>
        <v/>
      </c>
      <c r="AB63" s="821" t="str">
        <f>IF(I63="","",IFERROR(IF(COUNTIFS(請求管理!B:B,A63)=0,"",_xlfn.MAXIFS(請求管理!H:H,請求管理!B:B,A63)),""))</f>
        <v/>
      </c>
      <c r="AC63" s="823" t="str">
        <f>IF(I63="","",IFERROR(IF(COUNTIFS(請求管理!B:B,A63)=0,"",SUMIFS(請求管理!I:I,請求管理!B:B,A63)),""))</f>
        <v/>
      </c>
      <c r="AD63" s="827"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7" t="str">
        <f t="shared" ca="1" si="3"/>
        <v/>
      </c>
      <c r="W64" s="828" t="str">
        <f t="shared" ca="1" si="4"/>
        <v/>
      </c>
      <c r="X64" s="820" t="str">
        <f>IF(I64="","",IF(COUNTIFS(請求管理!B:B,A64)&gt;0,"✅発行済","❌未発行"))</f>
        <v/>
      </c>
      <c r="Y64" s="821" t="str">
        <f>IF(I64="","",IFERROR(IF(COUNTIFS(請求管理!B:B,A64)=0,"",_xlfn.MAXIFS(請求管理!F:F,請求管理!B:B,A64)),""))</f>
        <v/>
      </c>
      <c r="Z64" s="823" t="str">
        <f>IF(I64="","",IFERROR(IF(COUNTIFS(請求管理!B:B,A64)=0,"",SUMIFS(請求管理!G:G,請求管理!B:B,A64)),""))</f>
        <v/>
      </c>
      <c r="AA64" s="820" t="str">
        <f>IF(I64="","",IF(COUNTIFS(請求管理!B:B,A64)=0,"",IF(SUMIFS(請求管理!J:J,請求管理!B:B,A64)&lt;=0,"✅入金済","❌未入金")))</f>
        <v/>
      </c>
      <c r="AB64" s="821" t="str">
        <f>IF(I64="","",IFERROR(IF(COUNTIFS(請求管理!B:B,A64)=0,"",_xlfn.MAXIFS(請求管理!H:H,請求管理!B:B,A64)),""))</f>
        <v/>
      </c>
      <c r="AC64" s="823" t="str">
        <f>IF(I64="","",IFERROR(IF(COUNTIFS(請求管理!B:B,A64)=0,"",SUMIFS(請求管理!I:I,請求管理!B:B,A64)),""))</f>
        <v/>
      </c>
      <c r="AD64" s="827"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7" t="str">
        <f t="shared" ca="1" si="3"/>
        <v/>
      </c>
      <c r="W65" s="828" t="str">
        <f t="shared" ca="1" si="4"/>
        <v/>
      </c>
      <c r="X65" s="820" t="str">
        <f>IF(I65="","",IF(COUNTIFS(請求管理!B:B,A65)&gt;0,"✅発行済","❌未発行"))</f>
        <v/>
      </c>
      <c r="Y65" s="821" t="str">
        <f>IF(I65="","",IFERROR(IF(COUNTIFS(請求管理!B:B,A65)=0,"",_xlfn.MAXIFS(請求管理!F:F,請求管理!B:B,A65)),""))</f>
        <v/>
      </c>
      <c r="Z65" s="823" t="str">
        <f>IF(I65="","",IFERROR(IF(COUNTIFS(請求管理!B:B,A65)=0,"",SUMIFS(請求管理!G:G,請求管理!B:B,A65)),""))</f>
        <v/>
      </c>
      <c r="AA65" s="820" t="str">
        <f>IF(I65="","",IF(COUNTIFS(請求管理!B:B,A65)=0,"",IF(SUMIFS(請求管理!J:J,請求管理!B:B,A65)&lt;=0,"✅入金済","❌未入金")))</f>
        <v/>
      </c>
      <c r="AB65" s="821" t="str">
        <f>IF(I65="","",IFERROR(IF(COUNTIFS(請求管理!B:B,A65)=0,"",_xlfn.MAXIFS(請求管理!H:H,請求管理!B:B,A65)),""))</f>
        <v/>
      </c>
      <c r="AC65" s="823" t="str">
        <f>IF(I65="","",IFERROR(IF(COUNTIFS(請求管理!B:B,A65)=0,"",SUMIFS(請求管理!I:I,請求管理!B:B,A65)),""))</f>
        <v/>
      </c>
      <c r="AD65" s="827"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7" t="str">
        <f t="shared" ca="1" si="3"/>
        <v/>
      </c>
      <c r="W66" s="828" t="str">
        <f t="shared" ca="1" si="4"/>
        <v/>
      </c>
      <c r="X66" s="820" t="str">
        <f>IF(I66="","",IF(COUNTIFS(請求管理!B:B,A66)&gt;0,"✅発行済","❌未発行"))</f>
        <v/>
      </c>
      <c r="Y66" s="821" t="str">
        <f>IF(I66="","",IFERROR(IF(COUNTIFS(請求管理!B:B,A66)=0,"",_xlfn.MAXIFS(請求管理!F:F,請求管理!B:B,A66)),""))</f>
        <v/>
      </c>
      <c r="Z66" s="823" t="str">
        <f>IF(I66="","",IFERROR(IF(COUNTIFS(請求管理!B:B,A66)=0,"",SUMIFS(請求管理!G:G,請求管理!B:B,A66)),""))</f>
        <v/>
      </c>
      <c r="AA66" s="820" t="str">
        <f>IF(I66="","",IF(COUNTIFS(請求管理!B:B,A66)=0,"",IF(SUMIFS(請求管理!J:J,請求管理!B:B,A66)&lt;=0,"✅入金済","❌未入金")))</f>
        <v/>
      </c>
      <c r="AB66" s="821" t="str">
        <f>IF(I66="","",IFERROR(IF(COUNTIFS(請求管理!B:B,A66)=0,"",_xlfn.MAXIFS(請求管理!H:H,請求管理!B:B,A66)),""))</f>
        <v/>
      </c>
      <c r="AC66" s="823" t="str">
        <f>IF(I66="","",IFERROR(IF(COUNTIFS(請求管理!B:B,A66)=0,"",SUMIFS(請求管理!I:I,請求管理!B:B,A66)),""))</f>
        <v/>
      </c>
      <c r="AD66" s="827"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7" t="str">
        <f t="shared" ca="1" si="3"/>
        <v/>
      </c>
      <c r="W67" s="828" t="str">
        <f t="shared" ca="1" si="4"/>
        <v/>
      </c>
      <c r="X67" s="820" t="str">
        <f>IF(I67="","",IF(COUNTIFS(請求管理!B:B,A67)&gt;0,"✅発行済","❌未発行"))</f>
        <v/>
      </c>
      <c r="Y67" s="821" t="str">
        <f>IF(I67="","",IFERROR(IF(COUNTIFS(請求管理!B:B,A67)=0,"",_xlfn.MAXIFS(請求管理!F:F,請求管理!B:B,A67)),""))</f>
        <v/>
      </c>
      <c r="Z67" s="823" t="str">
        <f>IF(I67="","",IFERROR(IF(COUNTIFS(請求管理!B:B,A67)=0,"",SUMIFS(請求管理!G:G,請求管理!B:B,A67)),""))</f>
        <v/>
      </c>
      <c r="AA67" s="820" t="str">
        <f>IF(I67="","",IF(COUNTIFS(請求管理!B:B,A67)=0,"",IF(SUMIFS(請求管理!J:J,請求管理!B:B,A67)&lt;=0,"✅入金済","❌未入金")))</f>
        <v/>
      </c>
      <c r="AB67" s="821" t="str">
        <f>IF(I67="","",IFERROR(IF(COUNTIFS(請求管理!B:B,A67)=0,"",_xlfn.MAXIFS(請求管理!H:H,請求管理!B:B,A67)),""))</f>
        <v/>
      </c>
      <c r="AC67" s="823" t="str">
        <f>IF(I67="","",IFERROR(IF(COUNTIFS(請求管理!B:B,A67)=0,"",SUMIFS(請求管理!I:I,請求管理!B:B,A67)),""))</f>
        <v/>
      </c>
      <c r="AD67" s="827"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7" t="str">
        <f t="shared" ca="1" si="3"/>
        <v/>
      </c>
      <c r="W68" s="828" t="str">
        <f t="shared" ca="1" si="4"/>
        <v/>
      </c>
      <c r="X68" s="820" t="str">
        <f>IF(I68="","",IF(COUNTIFS(請求管理!B:B,A68)&gt;0,"✅発行済","❌未発行"))</f>
        <v/>
      </c>
      <c r="Y68" s="821" t="str">
        <f>IF(I68="","",IFERROR(IF(COUNTIFS(請求管理!B:B,A68)=0,"",_xlfn.MAXIFS(請求管理!F:F,請求管理!B:B,A68)),""))</f>
        <v/>
      </c>
      <c r="Z68" s="823" t="str">
        <f>IF(I68="","",IFERROR(IF(COUNTIFS(請求管理!B:B,A68)=0,"",SUMIFS(請求管理!G:G,請求管理!B:B,A68)),""))</f>
        <v/>
      </c>
      <c r="AA68" s="820" t="str">
        <f>IF(I68="","",IF(COUNTIFS(請求管理!B:B,A68)=0,"",IF(SUMIFS(請求管理!J:J,請求管理!B:B,A68)&lt;=0,"✅入金済","❌未入金")))</f>
        <v/>
      </c>
      <c r="AB68" s="821" t="str">
        <f>IF(I68="","",IFERROR(IF(COUNTIFS(請求管理!B:B,A68)=0,"",_xlfn.MAXIFS(請求管理!H:H,請求管理!B:B,A68)),""))</f>
        <v/>
      </c>
      <c r="AC68" s="823" t="str">
        <f>IF(I68="","",IFERROR(IF(COUNTIFS(請求管理!B:B,A68)=0,"",SUMIFS(請求管理!I:I,請求管理!B:B,A68)),""))</f>
        <v/>
      </c>
      <c r="AD68" s="827"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7" t="str">
        <f t="shared" ca="1" si="3"/>
        <v/>
      </c>
      <c r="W69" s="828" t="str">
        <f t="shared" ca="1" si="4"/>
        <v/>
      </c>
      <c r="X69" s="820" t="str">
        <f>IF(I69="","",IF(COUNTIFS(請求管理!B:B,A69)&gt;0,"✅発行済","❌未発行"))</f>
        <v/>
      </c>
      <c r="Y69" s="821" t="str">
        <f>IF(I69="","",IFERROR(IF(COUNTIFS(請求管理!B:B,A69)=0,"",_xlfn.MAXIFS(請求管理!F:F,請求管理!B:B,A69)),""))</f>
        <v/>
      </c>
      <c r="Z69" s="823" t="str">
        <f>IF(I69="","",IFERROR(IF(COUNTIFS(請求管理!B:B,A69)=0,"",SUMIFS(請求管理!G:G,請求管理!B:B,A69)),""))</f>
        <v/>
      </c>
      <c r="AA69" s="820" t="str">
        <f>IF(I69="","",IF(COUNTIFS(請求管理!B:B,A69)=0,"",IF(SUMIFS(請求管理!J:J,請求管理!B:B,A69)&lt;=0,"✅入金済","❌未入金")))</f>
        <v/>
      </c>
      <c r="AB69" s="821" t="str">
        <f>IF(I69="","",IFERROR(IF(COUNTIFS(請求管理!B:B,A69)=0,"",_xlfn.MAXIFS(請求管理!H:H,請求管理!B:B,A69)),""))</f>
        <v/>
      </c>
      <c r="AC69" s="823" t="str">
        <f>IF(I69="","",IFERROR(IF(COUNTIFS(請求管理!B:B,A69)=0,"",SUMIFS(請求管理!I:I,請求管理!B:B,A69)),""))</f>
        <v/>
      </c>
      <c r="AD69" s="827"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7" t="str">
        <f t="shared" ca="1" si="3"/>
        <v/>
      </c>
      <c r="W70" s="828" t="str">
        <f t="shared" ca="1" si="4"/>
        <v/>
      </c>
      <c r="X70" s="820" t="str">
        <f>IF(I70="","",IF(COUNTIFS(請求管理!B:B,A70)&gt;0,"✅発行済","❌未発行"))</f>
        <v/>
      </c>
      <c r="Y70" s="821" t="str">
        <f>IF(I70="","",IFERROR(IF(COUNTIFS(請求管理!B:B,A70)=0,"",_xlfn.MAXIFS(請求管理!F:F,請求管理!B:B,A70)),""))</f>
        <v/>
      </c>
      <c r="Z70" s="823" t="str">
        <f>IF(I70="","",IFERROR(IF(COUNTIFS(請求管理!B:B,A70)=0,"",SUMIFS(請求管理!G:G,請求管理!B:B,A70)),""))</f>
        <v/>
      </c>
      <c r="AA70" s="820" t="str">
        <f>IF(I70="","",IF(COUNTIFS(請求管理!B:B,A70)=0,"",IF(SUMIFS(請求管理!J:J,請求管理!B:B,A70)&lt;=0,"✅入金済","❌未入金")))</f>
        <v/>
      </c>
      <c r="AB70" s="821" t="str">
        <f>IF(I70="","",IFERROR(IF(COUNTIFS(請求管理!B:B,A70)=0,"",_xlfn.MAXIFS(請求管理!H:H,請求管理!B:B,A70)),""))</f>
        <v/>
      </c>
      <c r="AC70" s="823" t="str">
        <f>IF(I70="","",IFERROR(IF(COUNTIFS(請求管理!B:B,A70)=0,"",SUMIFS(請求管理!I:I,請求管理!B:B,A70)),""))</f>
        <v/>
      </c>
      <c r="AD70" s="827"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7" t="str">
        <f t="shared" ca="1" si="3"/>
        <v/>
      </c>
      <c r="W71" s="828" t="str">
        <f t="shared" ca="1" si="4"/>
        <v/>
      </c>
      <c r="X71" s="820" t="str">
        <f>IF(I71="","",IF(COUNTIFS(請求管理!B:B,A71)&gt;0,"✅発行済","❌未発行"))</f>
        <v/>
      </c>
      <c r="Y71" s="821" t="str">
        <f>IF(I71="","",IFERROR(IF(COUNTIFS(請求管理!B:B,A71)=0,"",_xlfn.MAXIFS(請求管理!F:F,請求管理!B:B,A71)),""))</f>
        <v/>
      </c>
      <c r="Z71" s="823" t="str">
        <f>IF(I71="","",IFERROR(IF(COUNTIFS(請求管理!B:B,A71)=0,"",SUMIFS(請求管理!G:G,請求管理!B:B,A71)),""))</f>
        <v/>
      </c>
      <c r="AA71" s="820" t="str">
        <f>IF(I71="","",IF(COUNTIFS(請求管理!B:B,A71)=0,"",IF(SUMIFS(請求管理!J:J,請求管理!B:B,A71)&lt;=0,"✅入金済","❌未入金")))</f>
        <v/>
      </c>
      <c r="AB71" s="821" t="str">
        <f>IF(I71="","",IFERROR(IF(COUNTIFS(請求管理!B:B,A71)=0,"",_xlfn.MAXIFS(請求管理!H:H,請求管理!B:B,A71)),""))</f>
        <v/>
      </c>
      <c r="AC71" s="823" t="str">
        <f>IF(I71="","",IFERROR(IF(COUNTIFS(請求管理!B:B,A71)=0,"",SUMIFS(請求管理!I:I,請求管理!B:B,A71)),""))</f>
        <v/>
      </c>
      <c r="AD71" s="827"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7" t="str">
        <f t="shared" ca="1" si="3"/>
        <v/>
      </c>
      <c r="W72" s="828" t="str">
        <f t="shared" ca="1" si="4"/>
        <v/>
      </c>
      <c r="X72" s="820" t="str">
        <f>IF(I72="","",IF(COUNTIFS(請求管理!B:B,A72)&gt;0,"✅発行済","❌未発行"))</f>
        <v/>
      </c>
      <c r="Y72" s="821" t="str">
        <f>IF(I72="","",IFERROR(IF(COUNTIFS(請求管理!B:B,A72)=0,"",_xlfn.MAXIFS(請求管理!F:F,請求管理!B:B,A72)),""))</f>
        <v/>
      </c>
      <c r="Z72" s="823" t="str">
        <f>IF(I72="","",IFERROR(IF(COUNTIFS(請求管理!B:B,A72)=0,"",SUMIFS(請求管理!G:G,請求管理!B:B,A72)),""))</f>
        <v/>
      </c>
      <c r="AA72" s="820" t="str">
        <f>IF(I72="","",IF(COUNTIFS(請求管理!B:B,A72)=0,"",IF(SUMIFS(請求管理!J:J,請求管理!B:B,A72)&lt;=0,"✅入金済","❌未入金")))</f>
        <v/>
      </c>
      <c r="AB72" s="821" t="str">
        <f>IF(I72="","",IFERROR(IF(COUNTIFS(請求管理!B:B,A72)=0,"",_xlfn.MAXIFS(請求管理!H:H,請求管理!B:B,A72)),""))</f>
        <v/>
      </c>
      <c r="AC72" s="823" t="str">
        <f>IF(I72="","",IFERROR(IF(COUNTIFS(請求管理!B:B,A72)=0,"",SUMIFS(請求管理!I:I,請求管理!B:B,A72)),""))</f>
        <v/>
      </c>
      <c r="AD72" s="827"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7" t="str">
        <f t="shared" ref="V73:V104" ca="1" si="12">IF(AND(U73&lt;&gt;"",OR(I73="⑤受注",I73="③見積作成中",I73="④見積提出済")),U73-TODAY(),"")</f>
        <v/>
      </c>
      <c r="W73" s="828" t="str">
        <f t="shared" ref="W73:W104" ca="1" si="13">IF(V73="","",IF(V73&lt;0,"⚠工期超過",IF(V73&lt;=7,"⚠残り"&amp;V73&amp;"日","")))</f>
        <v/>
      </c>
      <c r="X73" s="820" t="str">
        <f>IF(I73="","",IF(COUNTIFS(請求管理!B:B,A73)&gt;0,"✅発行済","❌未発行"))</f>
        <v/>
      </c>
      <c r="Y73" s="821" t="str">
        <f>IF(I73="","",IFERROR(IF(COUNTIFS(請求管理!B:B,A73)=0,"",_xlfn.MAXIFS(請求管理!F:F,請求管理!B:B,A73)),""))</f>
        <v/>
      </c>
      <c r="Z73" s="823" t="str">
        <f>IF(I73="","",IFERROR(IF(COUNTIFS(請求管理!B:B,A73)=0,"",SUMIFS(請求管理!G:G,請求管理!B:B,A73)),""))</f>
        <v/>
      </c>
      <c r="AA73" s="820" t="str">
        <f>IF(I73="","",IF(COUNTIFS(請求管理!B:B,A73)=0,"",IF(SUMIFS(請求管理!J:J,請求管理!B:B,A73)&lt;=0,"✅入金済","❌未入金")))</f>
        <v/>
      </c>
      <c r="AB73" s="821" t="str">
        <f>IF(I73="","",IFERROR(IF(COUNTIFS(請求管理!B:B,A73)=0,"",_xlfn.MAXIFS(請求管理!H:H,請求管理!B:B,A73)),""))</f>
        <v/>
      </c>
      <c r="AC73" s="823" t="str">
        <f>IF(I73="","",IFERROR(IF(COUNTIFS(請求管理!B:B,A73)=0,"",SUMIFS(請求管理!I:I,請求管理!B:B,A73)),""))</f>
        <v/>
      </c>
      <c r="AD73" s="827"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7" t="str">
        <f t="shared" ca="1" si="12"/>
        <v/>
      </c>
      <c r="W74" s="828" t="str">
        <f t="shared" ca="1" si="13"/>
        <v/>
      </c>
      <c r="X74" s="820" t="str">
        <f>IF(I74="","",IF(COUNTIFS(請求管理!B:B,A74)&gt;0,"✅発行済","❌未発行"))</f>
        <v/>
      </c>
      <c r="Y74" s="821" t="str">
        <f>IF(I74="","",IFERROR(IF(COUNTIFS(請求管理!B:B,A74)=0,"",_xlfn.MAXIFS(請求管理!F:F,請求管理!B:B,A74)),""))</f>
        <v/>
      </c>
      <c r="Z74" s="823" t="str">
        <f>IF(I74="","",IFERROR(IF(COUNTIFS(請求管理!B:B,A74)=0,"",SUMIFS(請求管理!G:G,請求管理!B:B,A74)),""))</f>
        <v/>
      </c>
      <c r="AA74" s="820" t="str">
        <f>IF(I74="","",IF(COUNTIFS(請求管理!B:B,A74)=0,"",IF(SUMIFS(請求管理!J:J,請求管理!B:B,A74)&lt;=0,"✅入金済","❌未入金")))</f>
        <v/>
      </c>
      <c r="AB74" s="821" t="str">
        <f>IF(I74="","",IFERROR(IF(COUNTIFS(請求管理!B:B,A74)=0,"",_xlfn.MAXIFS(請求管理!H:H,請求管理!B:B,A74)),""))</f>
        <v/>
      </c>
      <c r="AC74" s="823" t="str">
        <f>IF(I74="","",IFERROR(IF(COUNTIFS(請求管理!B:B,A74)=0,"",SUMIFS(請求管理!I:I,請求管理!B:B,A74)),""))</f>
        <v/>
      </c>
      <c r="AD74" s="827"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7" t="str">
        <f t="shared" ca="1" si="12"/>
        <v/>
      </c>
      <c r="W75" s="828" t="str">
        <f t="shared" ca="1" si="13"/>
        <v/>
      </c>
      <c r="X75" s="820" t="str">
        <f>IF(I75="","",IF(COUNTIFS(請求管理!B:B,A75)&gt;0,"✅発行済","❌未発行"))</f>
        <v/>
      </c>
      <c r="Y75" s="821" t="str">
        <f>IF(I75="","",IFERROR(IF(COUNTIFS(請求管理!B:B,A75)=0,"",_xlfn.MAXIFS(請求管理!F:F,請求管理!B:B,A75)),""))</f>
        <v/>
      </c>
      <c r="Z75" s="823" t="str">
        <f>IF(I75="","",IFERROR(IF(COUNTIFS(請求管理!B:B,A75)=0,"",SUMIFS(請求管理!G:G,請求管理!B:B,A75)),""))</f>
        <v/>
      </c>
      <c r="AA75" s="820" t="str">
        <f>IF(I75="","",IF(COUNTIFS(請求管理!B:B,A75)=0,"",IF(SUMIFS(請求管理!J:J,請求管理!B:B,A75)&lt;=0,"✅入金済","❌未入金")))</f>
        <v/>
      </c>
      <c r="AB75" s="821" t="str">
        <f>IF(I75="","",IFERROR(IF(COUNTIFS(請求管理!B:B,A75)=0,"",_xlfn.MAXIFS(請求管理!H:H,請求管理!B:B,A75)),""))</f>
        <v/>
      </c>
      <c r="AC75" s="823" t="str">
        <f>IF(I75="","",IFERROR(IF(COUNTIFS(請求管理!B:B,A75)=0,"",SUMIFS(請求管理!I:I,請求管理!B:B,A75)),""))</f>
        <v/>
      </c>
      <c r="AD75" s="827"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7" t="str">
        <f t="shared" ca="1" si="12"/>
        <v/>
      </c>
      <c r="W76" s="828" t="str">
        <f t="shared" ca="1" si="13"/>
        <v/>
      </c>
      <c r="X76" s="820" t="str">
        <f>IF(I76="","",IF(COUNTIFS(請求管理!B:B,A76)&gt;0,"✅発行済","❌未発行"))</f>
        <v/>
      </c>
      <c r="Y76" s="821" t="str">
        <f>IF(I76="","",IFERROR(IF(COUNTIFS(請求管理!B:B,A76)=0,"",_xlfn.MAXIFS(請求管理!F:F,請求管理!B:B,A76)),""))</f>
        <v/>
      </c>
      <c r="Z76" s="823" t="str">
        <f>IF(I76="","",IFERROR(IF(COUNTIFS(請求管理!B:B,A76)=0,"",SUMIFS(請求管理!G:G,請求管理!B:B,A76)),""))</f>
        <v/>
      </c>
      <c r="AA76" s="820" t="str">
        <f>IF(I76="","",IF(COUNTIFS(請求管理!B:B,A76)=0,"",IF(SUMIFS(請求管理!J:J,請求管理!B:B,A76)&lt;=0,"✅入金済","❌未入金")))</f>
        <v/>
      </c>
      <c r="AB76" s="821" t="str">
        <f>IF(I76="","",IFERROR(IF(COUNTIFS(請求管理!B:B,A76)=0,"",_xlfn.MAXIFS(請求管理!H:H,請求管理!B:B,A76)),""))</f>
        <v/>
      </c>
      <c r="AC76" s="823" t="str">
        <f>IF(I76="","",IFERROR(IF(COUNTIFS(請求管理!B:B,A76)=0,"",SUMIFS(請求管理!I:I,請求管理!B:B,A76)),""))</f>
        <v/>
      </c>
      <c r="AD76" s="827"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7" t="str">
        <f t="shared" ca="1" si="12"/>
        <v/>
      </c>
      <c r="W77" s="828" t="str">
        <f t="shared" ca="1" si="13"/>
        <v/>
      </c>
      <c r="X77" s="820" t="str">
        <f>IF(I77="","",IF(COUNTIFS(請求管理!B:B,A77)&gt;0,"✅発行済","❌未発行"))</f>
        <v/>
      </c>
      <c r="Y77" s="821" t="str">
        <f>IF(I77="","",IFERROR(IF(COUNTIFS(請求管理!B:B,A77)=0,"",_xlfn.MAXIFS(請求管理!F:F,請求管理!B:B,A77)),""))</f>
        <v/>
      </c>
      <c r="Z77" s="823" t="str">
        <f>IF(I77="","",IFERROR(IF(COUNTIFS(請求管理!B:B,A77)=0,"",SUMIFS(請求管理!G:G,請求管理!B:B,A77)),""))</f>
        <v/>
      </c>
      <c r="AA77" s="820" t="str">
        <f>IF(I77="","",IF(COUNTIFS(請求管理!B:B,A77)=0,"",IF(SUMIFS(請求管理!J:J,請求管理!B:B,A77)&lt;=0,"✅入金済","❌未入金")))</f>
        <v/>
      </c>
      <c r="AB77" s="821" t="str">
        <f>IF(I77="","",IFERROR(IF(COUNTIFS(請求管理!B:B,A77)=0,"",_xlfn.MAXIFS(請求管理!H:H,請求管理!B:B,A77)),""))</f>
        <v/>
      </c>
      <c r="AC77" s="823" t="str">
        <f>IF(I77="","",IFERROR(IF(COUNTIFS(請求管理!B:B,A77)=0,"",SUMIFS(請求管理!I:I,請求管理!B:B,A77)),""))</f>
        <v/>
      </c>
      <c r="AD77" s="827"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7" t="str">
        <f t="shared" ca="1" si="12"/>
        <v/>
      </c>
      <c r="W78" s="828" t="str">
        <f t="shared" ca="1" si="13"/>
        <v/>
      </c>
      <c r="X78" s="820" t="str">
        <f>IF(I78="","",IF(COUNTIFS(請求管理!B:B,A78)&gt;0,"✅発行済","❌未発行"))</f>
        <v/>
      </c>
      <c r="Y78" s="821" t="str">
        <f>IF(I78="","",IFERROR(IF(COUNTIFS(請求管理!B:B,A78)=0,"",_xlfn.MAXIFS(請求管理!F:F,請求管理!B:B,A78)),""))</f>
        <v/>
      </c>
      <c r="Z78" s="823" t="str">
        <f>IF(I78="","",IFERROR(IF(COUNTIFS(請求管理!B:B,A78)=0,"",SUMIFS(請求管理!G:G,請求管理!B:B,A78)),""))</f>
        <v/>
      </c>
      <c r="AA78" s="820" t="str">
        <f>IF(I78="","",IF(COUNTIFS(請求管理!B:B,A78)=0,"",IF(SUMIFS(請求管理!J:J,請求管理!B:B,A78)&lt;=0,"✅入金済","❌未入金")))</f>
        <v/>
      </c>
      <c r="AB78" s="821" t="str">
        <f>IF(I78="","",IFERROR(IF(COUNTIFS(請求管理!B:B,A78)=0,"",_xlfn.MAXIFS(請求管理!H:H,請求管理!B:B,A78)),""))</f>
        <v/>
      </c>
      <c r="AC78" s="823" t="str">
        <f>IF(I78="","",IFERROR(IF(COUNTIFS(請求管理!B:B,A78)=0,"",SUMIFS(請求管理!I:I,請求管理!B:B,A78)),""))</f>
        <v/>
      </c>
      <c r="AD78" s="827"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7" t="str">
        <f t="shared" ca="1" si="12"/>
        <v/>
      </c>
      <c r="W79" s="828" t="str">
        <f t="shared" ca="1" si="13"/>
        <v/>
      </c>
      <c r="X79" s="820" t="str">
        <f>IF(I79="","",IF(COUNTIFS(請求管理!B:B,A79)&gt;0,"✅発行済","❌未発行"))</f>
        <v/>
      </c>
      <c r="Y79" s="821" t="str">
        <f>IF(I79="","",IFERROR(IF(COUNTIFS(請求管理!B:B,A79)=0,"",_xlfn.MAXIFS(請求管理!F:F,請求管理!B:B,A79)),""))</f>
        <v/>
      </c>
      <c r="Z79" s="823" t="str">
        <f>IF(I79="","",IFERROR(IF(COUNTIFS(請求管理!B:B,A79)=0,"",SUMIFS(請求管理!G:G,請求管理!B:B,A79)),""))</f>
        <v/>
      </c>
      <c r="AA79" s="820" t="str">
        <f>IF(I79="","",IF(COUNTIFS(請求管理!B:B,A79)=0,"",IF(SUMIFS(請求管理!J:J,請求管理!B:B,A79)&lt;=0,"✅入金済","❌未入金")))</f>
        <v/>
      </c>
      <c r="AB79" s="821" t="str">
        <f>IF(I79="","",IFERROR(IF(COUNTIFS(請求管理!B:B,A79)=0,"",_xlfn.MAXIFS(請求管理!H:H,請求管理!B:B,A79)),""))</f>
        <v/>
      </c>
      <c r="AC79" s="823" t="str">
        <f>IF(I79="","",IFERROR(IF(COUNTIFS(請求管理!B:B,A79)=0,"",SUMIFS(請求管理!I:I,請求管理!B:B,A79)),""))</f>
        <v/>
      </c>
      <c r="AD79" s="827"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7" t="str">
        <f t="shared" ca="1" si="12"/>
        <v/>
      </c>
      <c r="W80" s="828" t="str">
        <f t="shared" ca="1" si="13"/>
        <v/>
      </c>
      <c r="X80" s="820" t="str">
        <f>IF(I80="","",IF(COUNTIFS(請求管理!B:B,A80)&gt;0,"✅発行済","❌未発行"))</f>
        <v/>
      </c>
      <c r="Y80" s="821" t="str">
        <f>IF(I80="","",IFERROR(IF(COUNTIFS(請求管理!B:B,A80)=0,"",_xlfn.MAXIFS(請求管理!F:F,請求管理!B:B,A80)),""))</f>
        <v/>
      </c>
      <c r="Z80" s="823" t="str">
        <f>IF(I80="","",IFERROR(IF(COUNTIFS(請求管理!B:B,A80)=0,"",SUMIFS(請求管理!G:G,請求管理!B:B,A80)),""))</f>
        <v/>
      </c>
      <c r="AA80" s="820" t="str">
        <f>IF(I80="","",IF(COUNTIFS(請求管理!B:B,A80)=0,"",IF(SUMIFS(請求管理!J:J,請求管理!B:B,A80)&lt;=0,"✅入金済","❌未入金")))</f>
        <v/>
      </c>
      <c r="AB80" s="821" t="str">
        <f>IF(I80="","",IFERROR(IF(COUNTIFS(請求管理!B:B,A80)=0,"",_xlfn.MAXIFS(請求管理!H:H,請求管理!B:B,A80)),""))</f>
        <v/>
      </c>
      <c r="AC80" s="823" t="str">
        <f>IF(I80="","",IFERROR(IF(COUNTIFS(請求管理!B:B,A80)=0,"",SUMIFS(請求管理!I:I,請求管理!B:B,A80)),""))</f>
        <v/>
      </c>
      <c r="AD80" s="827"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7" t="str">
        <f t="shared" ca="1" si="12"/>
        <v/>
      </c>
      <c r="W81" s="828" t="str">
        <f t="shared" ca="1" si="13"/>
        <v/>
      </c>
      <c r="X81" s="820" t="str">
        <f>IF(I81="","",IF(COUNTIFS(請求管理!B:B,A81)&gt;0,"✅発行済","❌未発行"))</f>
        <v/>
      </c>
      <c r="Y81" s="821" t="str">
        <f>IF(I81="","",IFERROR(IF(COUNTIFS(請求管理!B:B,A81)=0,"",_xlfn.MAXIFS(請求管理!F:F,請求管理!B:B,A81)),""))</f>
        <v/>
      </c>
      <c r="Z81" s="823" t="str">
        <f>IF(I81="","",IFERROR(IF(COUNTIFS(請求管理!B:B,A81)=0,"",SUMIFS(請求管理!G:G,請求管理!B:B,A81)),""))</f>
        <v/>
      </c>
      <c r="AA81" s="820" t="str">
        <f>IF(I81="","",IF(COUNTIFS(請求管理!B:B,A81)=0,"",IF(SUMIFS(請求管理!J:J,請求管理!B:B,A81)&lt;=0,"✅入金済","❌未入金")))</f>
        <v/>
      </c>
      <c r="AB81" s="821" t="str">
        <f>IF(I81="","",IFERROR(IF(COUNTIFS(請求管理!B:B,A81)=0,"",_xlfn.MAXIFS(請求管理!H:H,請求管理!B:B,A81)),""))</f>
        <v/>
      </c>
      <c r="AC81" s="823" t="str">
        <f>IF(I81="","",IFERROR(IF(COUNTIFS(請求管理!B:B,A81)=0,"",SUMIFS(請求管理!I:I,請求管理!B:B,A81)),""))</f>
        <v/>
      </c>
      <c r="AD81" s="827"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7" t="str">
        <f t="shared" ca="1" si="12"/>
        <v/>
      </c>
      <c r="W82" s="828" t="str">
        <f t="shared" ca="1" si="13"/>
        <v/>
      </c>
      <c r="X82" s="820" t="str">
        <f>IF(I82="","",IF(COUNTIFS(請求管理!B:B,A82)&gt;0,"✅発行済","❌未発行"))</f>
        <v/>
      </c>
      <c r="Y82" s="821" t="str">
        <f>IF(I82="","",IFERROR(IF(COUNTIFS(請求管理!B:B,A82)=0,"",_xlfn.MAXIFS(請求管理!F:F,請求管理!B:B,A82)),""))</f>
        <v/>
      </c>
      <c r="Z82" s="823" t="str">
        <f>IF(I82="","",IFERROR(IF(COUNTIFS(請求管理!B:B,A82)=0,"",SUMIFS(請求管理!G:G,請求管理!B:B,A82)),""))</f>
        <v/>
      </c>
      <c r="AA82" s="820" t="str">
        <f>IF(I82="","",IF(COUNTIFS(請求管理!B:B,A82)=0,"",IF(SUMIFS(請求管理!J:J,請求管理!B:B,A82)&lt;=0,"✅入金済","❌未入金")))</f>
        <v/>
      </c>
      <c r="AB82" s="821" t="str">
        <f>IF(I82="","",IFERROR(IF(COUNTIFS(請求管理!B:B,A82)=0,"",_xlfn.MAXIFS(請求管理!H:H,請求管理!B:B,A82)),""))</f>
        <v/>
      </c>
      <c r="AC82" s="823" t="str">
        <f>IF(I82="","",IFERROR(IF(COUNTIFS(請求管理!B:B,A82)=0,"",SUMIFS(請求管理!I:I,請求管理!B:B,A82)),""))</f>
        <v/>
      </c>
      <c r="AD82" s="827"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7" t="str">
        <f t="shared" ca="1" si="12"/>
        <v/>
      </c>
      <c r="W83" s="828" t="str">
        <f t="shared" ca="1" si="13"/>
        <v/>
      </c>
      <c r="X83" s="820" t="str">
        <f>IF(I83="","",IF(COUNTIFS(請求管理!B:B,A83)&gt;0,"✅発行済","❌未発行"))</f>
        <v/>
      </c>
      <c r="Y83" s="821" t="str">
        <f>IF(I83="","",IFERROR(IF(COUNTIFS(請求管理!B:B,A83)=0,"",_xlfn.MAXIFS(請求管理!F:F,請求管理!B:B,A83)),""))</f>
        <v/>
      </c>
      <c r="Z83" s="823" t="str">
        <f>IF(I83="","",IFERROR(IF(COUNTIFS(請求管理!B:B,A83)=0,"",SUMIFS(請求管理!G:G,請求管理!B:B,A83)),""))</f>
        <v/>
      </c>
      <c r="AA83" s="820" t="str">
        <f>IF(I83="","",IF(COUNTIFS(請求管理!B:B,A83)=0,"",IF(SUMIFS(請求管理!J:J,請求管理!B:B,A83)&lt;=0,"✅入金済","❌未入金")))</f>
        <v/>
      </c>
      <c r="AB83" s="821" t="str">
        <f>IF(I83="","",IFERROR(IF(COUNTIFS(請求管理!B:B,A83)=0,"",_xlfn.MAXIFS(請求管理!H:H,請求管理!B:B,A83)),""))</f>
        <v/>
      </c>
      <c r="AC83" s="823" t="str">
        <f>IF(I83="","",IFERROR(IF(COUNTIFS(請求管理!B:B,A83)=0,"",SUMIFS(請求管理!I:I,請求管理!B:B,A83)),""))</f>
        <v/>
      </c>
      <c r="AD83" s="827"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7" t="str">
        <f t="shared" ca="1" si="12"/>
        <v/>
      </c>
      <c r="W84" s="828" t="str">
        <f t="shared" ca="1" si="13"/>
        <v/>
      </c>
      <c r="X84" s="820" t="str">
        <f>IF(I84="","",IF(COUNTIFS(請求管理!B:B,A84)&gt;0,"✅発行済","❌未発行"))</f>
        <v/>
      </c>
      <c r="Y84" s="821" t="str">
        <f>IF(I84="","",IFERROR(IF(COUNTIFS(請求管理!B:B,A84)=0,"",_xlfn.MAXIFS(請求管理!F:F,請求管理!B:B,A84)),""))</f>
        <v/>
      </c>
      <c r="Z84" s="823" t="str">
        <f>IF(I84="","",IFERROR(IF(COUNTIFS(請求管理!B:B,A84)=0,"",SUMIFS(請求管理!G:G,請求管理!B:B,A84)),""))</f>
        <v/>
      </c>
      <c r="AA84" s="820" t="str">
        <f>IF(I84="","",IF(COUNTIFS(請求管理!B:B,A84)=0,"",IF(SUMIFS(請求管理!J:J,請求管理!B:B,A84)&lt;=0,"✅入金済","❌未入金")))</f>
        <v/>
      </c>
      <c r="AB84" s="821" t="str">
        <f>IF(I84="","",IFERROR(IF(COUNTIFS(請求管理!B:B,A84)=0,"",_xlfn.MAXIFS(請求管理!H:H,請求管理!B:B,A84)),""))</f>
        <v/>
      </c>
      <c r="AC84" s="823" t="str">
        <f>IF(I84="","",IFERROR(IF(COUNTIFS(請求管理!B:B,A84)=0,"",SUMIFS(請求管理!I:I,請求管理!B:B,A84)),""))</f>
        <v/>
      </c>
      <c r="AD84" s="827"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7" t="str">
        <f t="shared" ca="1" si="12"/>
        <v/>
      </c>
      <c r="W85" s="828" t="str">
        <f t="shared" ca="1" si="13"/>
        <v/>
      </c>
      <c r="X85" s="820" t="str">
        <f>IF(I85="","",IF(COUNTIFS(請求管理!B:B,A85)&gt;0,"✅発行済","❌未発行"))</f>
        <v/>
      </c>
      <c r="Y85" s="821" t="str">
        <f>IF(I85="","",IFERROR(IF(COUNTIFS(請求管理!B:B,A85)=0,"",_xlfn.MAXIFS(請求管理!F:F,請求管理!B:B,A85)),""))</f>
        <v/>
      </c>
      <c r="Z85" s="823" t="str">
        <f>IF(I85="","",IFERROR(IF(COUNTIFS(請求管理!B:B,A85)=0,"",SUMIFS(請求管理!G:G,請求管理!B:B,A85)),""))</f>
        <v/>
      </c>
      <c r="AA85" s="820" t="str">
        <f>IF(I85="","",IF(COUNTIFS(請求管理!B:B,A85)=0,"",IF(SUMIFS(請求管理!J:J,請求管理!B:B,A85)&lt;=0,"✅入金済","❌未入金")))</f>
        <v/>
      </c>
      <c r="AB85" s="821" t="str">
        <f>IF(I85="","",IFERROR(IF(COUNTIFS(請求管理!B:B,A85)=0,"",_xlfn.MAXIFS(請求管理!H:H,請求管理!B:B,A85)),""))</f>
        <v/>
      </c>
      <c r="AC85" s="823" t="str">
        <f>IF(I85="","",IFERROR(IF(COUNTIFS(請求管理!B:B,A85)=0,"",SUMIFS(請求管理!I:I,請求管理!B:B,A85)),""))</f>
        <v/>
      </c>
      <c r="AD85" s="827"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7" t="str">
        <f t="shared" ca="1" si="12"/>
        <v/>
      </c>
      <c r="W86" s="828" t="str">
        <f t="shared" ca="1" si="13"/>
        <v/>
      </c>
      <c r="X86" s="820" t="str">
        <f>IF(I86="","",IF(COUNTIFS(請求管理!B:B,A86)&gt;0,"✅発行済","❌未発行"))</f>
        <v/>
      </c>
      <c r="Y86" s="821" t="str">
        <f>IF(I86="","",IFERROR(IF(COUNTIFS(請求管理!B:B,A86)=0,"",_xlfn.MAXIFS(請求管理!F:F,請求管理!B:B,A86)),""))</f>
        <v/>
      </c>
      <c r="Z86" s="823" t="str">
        <f>IF(I86="","",IFERROR(IF(COUNTIFS(請求管理!B:B,A86)=0,"",SUMIFS(請求管理!G:G,請求管理!B:B,A86)),""))</f>
        <v/>
      </c>
      <c r="AA86" s="820" t="str">
        <f>IF(I86="","",IF(COUNTIFS(請求管理!B:B,A86)=0,"",IF(SUMIFS(請求管理!J:J,請求管理!B:B,A86)&lt;=0,"✅入金済","❌未入金")))</f>
        <v/>
      </c>
      <c r="AB86" s="821" t="str">
        <f>IF(I86="","",IFERROR(IF(COUNTIFS(請求管理!B:B,A86)=0,"",_xlfn.MAXIFS(請求管理!H:H,請求管理!B:B,A86)),""))</f>
        <v/>
      </c>
      <c r="AC86" s="823" t="str">
        <f>IF(I86="","",IFERROR(IF(COUNTIFS(請求管理!B:B,A86)=0,"",SUMIFS(請求管理!I:I,請求管理!B:B,A86)),""))</f>
        <v/>
      </c>
      <c r="AD86" s="827"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7" t="str">
        <f t="shared" ca="1" si="12"/>
        <v/>
      </c>
      <c r="W87" s="828" t="str">
        <f t="shared" ca="1" si="13"/>
        <v/>
      </c>
      <c r="X87" s="820" t="str">
        <f>IF(I87="","",IF(COUNTIFS(請求管理!B:B,A87)&gt;0,"✅発行済","❌未発行"))</f>
        <v/>
      </c>
      <c r="Y87" s="821" t="str">
        <f>IF(I87="","",IFERROR(IF(COUNTIFS(請求管理!B:B,A87)=0,"",_xlfn.MAXIFS(請求管理!F:F,請求管理!B:B,A87)),""))</f>
        <v/>
      </c>
      <c r="Z87" s="823" t="str">
        <f>IF(I87="","",IFERROR(IF(COUNTIFS(請求管理!B:B,A87)=0,"",SUMIFS(請求管理!G:G,請求管理!B:B,A87)),""))</f>
        <v/>
      </c>
      <c r="AA87" s="820" t="str">
        <f>IF(I87="","",IF(COUNTIFS(請求管理!B:B,A87)=0,"",IF(SUMIFS(請求管理!J:J,請求管理!B:B,A87)&lt;=0,"✅入金済","❌未入金")))</f>
        <v/>
      </c>
      <c r="AB87" s="821" t="str">
        <f>IF(I87="","",IFERROR(IF(COUNTIFS(請求管理!B:B,A87)=0,"",_xlfn.MAXIFS(請求管理!H:H,請求管理!B:B,A87)),""))</f>
        <v/>
      </c>
      <c r="AC87" s="823" t="str">
        <f>IF(I87="","",IFERROR(IF(COUNTIFS(請求管理!B:B,A87)=0,"",SUMIFS(請求管理!I:I,請求管理!B:B,A87)),""))</f>
        <v/>
      </c>
      <c r="AD87" s="827"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7" t="str">
        <f t="shared" ca="1" si="12"/>
        <v/>
      </c>
      <c r="W88" s="828" t="str">
        <f t="shared" ca="1" si="13"/>
        <v/>
      </c>
      <c r="X88" s="820" t="str">
        <f>IF(I88="","",IF(COUNTIFS(請求管理!B:B,A88)&gt;0,"✅発行済","❌未発行"))</f>
        <v/>
      </c>
      <c r="Y88" s="821" t="str">
        <f>IF(I88="","",IFERROR(IF(COUNTIFS(請求管理!B:B,A88)=0,"",_xlfn.MAXIFS(請求管理!F:F,請求管理!B:B,A88)),""))</f>
        <v/>
      </c>
      <c r="Z88" s="823" t="str">
        <f>IF(I88="","",IFERROR(IF(COUNTIFS(請求管理!B:B,A88)=0,"",SUMIFS(請求管理!G:G,請求管理!B:B,A88)),""))</f>
        <v/>
      </c>
      <c r="AA88" s="820" t="str">
        <f>IF(I88="","",IF(COUNTIFS(請求管理!B:B,A88)=0,"",IF(SUMIFS(請求管理!J:J,請求管理!B:B,A88)&lt;=0,"✅入金済","❌未入金")))</f>
        <v/>
      </c>
      <c r="AB88" s="821" t="str">
        <f>IF(I88="","",IFERROR(IF(COUNTIFS(請求管理!B:B,A88)=0,"",_xlfn.MAXIFS(請求管理!H:H,請求管理!B:B,A88)),""))</f>
        <v/>
      </c>
      <c r="AC88" s="823" t="str">
        <f>IF(I88="","",IFERROR(IF(COUNTIFS(請求管理!B:B,A88)=0,"",SUMIFS(請求管理!I:I,請求管理!B:B,A88)),""))</f>
        <v/>
      </c>
      <c r="AD88" s="827"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7" t="str">
        <f t="shared" ca="1" si="12"/>
        <v/>
      </c>
      <c r="W89" s="828" t="str">
        <f t="shared" ca="1" si="13"/>
        <v/>
      </c>
      <c r="X89" s="820" t="str">
        <f>IF(I89="","",IF(COUNTIFS(請求管理!B:B,A89)&gt;0,"✅発行済","❌未発行"))</f>
        <v/>
      </c>
      <c r="Y89" s="821" t="str">
        <f>IF(I89="","",IFERROR(IF(COUNTIFS(請求管理!B:B,A89)=0,"",_xlfn.MAXIFS(請求管理!F:F,請求管理!B:B,A89)),""))</f>
        <v/>
      </c>
      <c r="Z89" s="823" t="str">
        <f>IF(I89="","",IFERROR(IF(COUNTIFS(請求管理!B:B,A89)=0,"",SUMIFS(請求管理!G:G,請求管理!B:B,A89)),""))</f>
        <v/>
      </c>
      <c r="AA89" s="820" t="str">
        <f>IF(I89="","",IF(COUNTIFS(請求管理!B:B,A89)=0,"",IF(SUMIFS(請求管理!J:J,請求管理!B:B,A89)&lt;=0,"✅入金済","❌未入金")))</f>
        <v/>
      </c>
      <c r="AB89" s="821" t="str">
        <f>IF(I89="","",IFERROR(IF(COUNTIFS(請求管理!B:B,A89)=0,"",_xlfn.MAXIFS(請求管理!H:H,請求管理!B:B,A89)),""))</f>
        <v/>
      </c>
      <c r="AC89" s="823" t="str">
        <f>IF(I89="","",IFERROR(IF(COUNTIFS(請求管理!B:B,A89)=0,"",SUMIFS(請求管理!I:I,請求管理!B:B,A89)),""))</f>
        <v/>
      </c>
      <c r="AD89" s="827"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7" t="str">
        <f t="shared" ca="1" si="12"/>
        <v/>
      </c>
      <c r="W90" s="828" t="str">
        <f t="shared" ca="1" si="13"/>
        <v/>
      </c>
      <c r="X90" s="820" t="str">
        <f>IF(I90="","",IF(COUNTIFS(請求管理!B:B,A90)&gt;0,"✅発行済","❌未発行"))</f>
        <v/>
      </c>
      <c r="Y90" s="821" t="str">
        <f>IF(I90="","",IFERROR(IF(COUNTIFS(請求管理!B:B,A90)=0,"",_xlfn.MAXIFS(請求管理!F:F,請求管理!B:B,A90)),""))</f>
        <v/>
      </c>
      <c r="Z90" s="823" t="str">
        <f>IF(I90="","",IFERROR(IF(COUNTIFS(請求管理!B:B,A90)=0,"",SUMIFS(請求管理!G:G,請求管理!B:B,A90)),""))</f>
        <v/>
      </c>
      <c r="AA90" s="820" t="str">
        <f>IF(I90="","",IF(COUNTIFS(請求管理!B:B,A90)=0,"",IF(SUMIFS(請求管理!J:J,請求管理!B:B,A90)&lt;=0,"✅入金済","❌未入金")))</f>
        <v/>
      </c>
      <c r="AB90" s="821" t="str">
        <f>IF(I90="","",IFERROR(IF(COUNTIFS(請求管理!B:B,A90)=0,"",_xlfn.MAXIFS(請求管理!H:H,請求管理!B:B,A90)),""))</f>
        <v/>
      </c>
      <c r="AC90" s="823" t="str">
        <f>IF(I90="","",IFERROR(IF(COUNTIFS(請求管理!B:B,A90)=0,"",SUMIFS(請求管理!I:I,請求管理!B:B,A90)),""))</f>
        <v/>
      </c>
      <c r="AD90" s="827"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7" t="str">
        <f t="shared" ca="1" si="12"/>
        <v/>
      </c>
      <c r="W91" s="828" t="str">
        <f t="shared" ca="1" si="13"/>
        <v/>
      </c>
      <c r="X91" s="820" t="str">
        <f>IF(I91="","",IF(COUNTIFS(請求管理!B:B,A91)&gt;0,"✅発行済","❌未発行"))</f>
        <v/>
      </c>
      <c r="Y91" s="821" t="str">
        <f>IF(I91="","",IFERROR(IF(COUNTIFS(請求管理!B:B,A91)=0,"",_xlfn.MAXIFS(請求管理!F:F,請求管理!B:B,A91)),""))</f>
        <v/>
      </c>
      <c r="Z91" s="823" t="str">
        <f>IF(I91="","",IFERROR(IF(COUNTIFS(請求管理!B:B,A91)=0,"",SUMIFS(請求管理!G:G,請求管理!B:B,A91)),""))</f>
        <v/>
      </c>
      <c r="AA91" s="820" t="str">
        <f>IF(I91="","",IF(COUNTIFS(請求管理!B:B,A91)=0,"",IF(SUMIFS(請求管理!J:J,請求管理!B:B,A91)&lt;=0,"✅入金済","❌未入金")))</f>
        <v/>
      </c>
      <c r="AB91" s="821" t="str">
        <f>IF(I91="","",IFERROR(IF(COUNTIFS(請求管理!B:B,A91)=0,"",_xlfn.MAXIFS(請求管理!H:H,請求管理!B:B,A91)),""))</f>
        <v/>
      </c>
      <c r="AC91" s="823" t="str">
        <f>IF(I91="","",IFERROR(IF(COUNTIFS(請求管理!B:B,A91)=0,"",SUMIFS(請求管理!I:I,請求管理!B:B,A91)),""))</f>
        <v/>
      </c>
      <c r="AD91" s="827"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7" t="str">
        <f t="shared" ca="1" si="12"/>
        <v/>
      </c>
      <c r="W92" s="828" t="str">
        <f t="shared" ca="1" si="13"/>
        <v/>
      </c>
      <c r="X92" s="820" t="str">
        <f>IF(I92="","",IF(COUNTIFS(請求管理!B:B,A92)&gt;0,"✅発行済","❌未発行"))</f>
        <v/>
      </c>
      <c r="Y92" s="821" t="str">
        <f>IF(I92="","",IFERROR(IF(COUNTIFS(請求管理!B:B,A92)=0,"",_xlfn.MAXIFS(請求管理!F:F,請求管理!B:B,A92)),""))</f>
        <v/>
      </c>
      <c r="Z92" s="823" t="str">
        <f>IF(I92="","",IFERROR(IF(COUNTIFS(請求管理!B:B,A92)=0,"",SUMIFS(請求管理!G:G,請求管理!B:B,A92)),""))</f>
        <v/>
      </c>
      <c r="AA92" s="820" t="str">
        <f>IF(I92="","",IF(COUNTIFS(請求管理!B:B,A92)=0,"",IF(SUMIFS(請求管理!J:J,請求管理!B:B,A92)&lt;=0,"✅入金済","❌未入金")))</f>
        <v/>
      </c>
      <c r="AB92" s="821" t="str">
        <f>IF(I92="","",IFERROR(IF(COUNTIFS(請求管理!B:B,A92)=0,"",_xlfn.MAXIFS(請求管理!H:H,請求管理!B:B,A92)),""))</f>
        <v/>
      </c>
      <c r="AC92" s="823" t="str">
        <f>IF(I92="","",IFERROR(IF(COUNTIFS(請求管理!B:B,A92)=0,"",SUMIFS(請求管理!I:I,請求管理!B:B,A92)),""))</f>
        <v/>
      </c>
      <c r="AD92" s="827"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7" t="str">
        <f t="shared" ca="1" si="12"/>
        <v/>
      </c>
      <c r="W93" s="828" t="str">
        <f t="shared" ca="1" si="13"/>
        <v/>
      </c>
      <c r="X93" s="820" t="str">
        <f>IF(I93="","",IF(COUNTIFS(請求管理!B:B,A93)&gt;0,"✅発行済","❌未発行"))</f>
        <v/>
      </c>
      <c r="Y93" s="821" t="str">
        <f>IF(I93="","",IFERROR(IF(COUNTIFS(請求管理!B:B,A93)=0,"",_xlfn.MAXIFS(請求管理!F:F,請求管理!B:B,A93)),""))</f>
        <v/>
      </c>
      <c r="Z93" s="823" t="str">
        <f>IF(I93="","",IFERROR(IF(COUNTIFS(請求管理!B:B,A93)=0,"",SUMIFS(請求管理!G:G,請求管理!B:B,A93)),""))</f>
        <v/>
      </c>
      <c r="AA93" s="820" t="str">
        <f>IF(I93="","",IF(COUNTIFS(請求管理!B:B,A93)=0,"",IF(SUMIFS(請求管理!J:J,請求管理!B:B,A93)&lt;=0,"✅入金済","❌未入金")))</f>
        <v/>
      </c>
      <c r="AB93" s="821" t="str">
        <f>IF(I93="","",IFERROR(IF(COUNTIFS(請求管理!B:B,A93)=0,"",_xlfn.MAXIFS(請求管理!H:H,請求管理!B:B,A93)),""))</f>
        <v/>
      </c>
      <c r="AC93" s="823" t="str">
        <f>IF(I93="","",IFERROR(IF(COUNTIFS(請求管理!B:B,A93)=0,"",SUMIFS(請求管理!I:I,請求管理!B:B,A93)),""))</f>
        <v/>
      </c>
      <c r="AD93" s="827"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7" t="str">
        <f t="shared" ca="1" si="12"/>
        <v/>
      </c>
      <c r="W94" s="828" t="str">
        <f t="shared" ca="1" si="13"/>
        <v/>
      </c>
      <c r="X94" s="820" t="str">
        <f>IF(I94="","",IF(COUNTIFS(請求管理!B:B,A94)&gt;0,"✅発行済","❌未発行"))</f>
        <v/>
      </c>
      <c r="Y94" s="821" t="str">
        <f>IF(I94="","",IFERROR(IF(COUNTIFS(請求管理!B:B,A94)=0,"",_xlfn.MAXIFS(請求管理!F:F,請求管理!B:B,A94)),""))</f>
        <v/>
      </c>
      <c r="Z94" s="823" t="str">
        <f>IF(I94="","",IFERROR(IF(COUNTIFS(請求管理!B:B,A94)=0,"",SUMIFS(請求管理!G:G,請求管理!B:B,A94)),""))</f>
        <v/>
      </c>
      <c r="AA94" s="820" t="str">
        <f>IF(I94="","",IF(COUNTIFS(請求管理!B:B,A94)=0,"",IF(SUMIFS(請求管理!J:J,請求管理!B:B,A94)&lt;=0,"✅入金済","❌未入金")))</f>
        <v/>
      </c>
      <c r="AB94" s="821" t="str">
        <f>IF(I94="","",IFERROR(IF(COUNTIFS(請求管理!B:B,A94)=0,"",_xlfn.MAXIFS(請求管理!H:H,請求管理!B:B,A94)),""))</f>
        <v/>
      </c>
      <c r="AC94" s="823" t="str">
        <f>IF(I94="","",IFERROR(IF(COUNTIFS(請求管理!B:B,A94)=0,"",SUMIFS(請求管理!I:I,請求管理!B:B,A94)),""))</f>
        <v/>
      </c>
      <c r="AD94" s="827"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7" t="str">
        <f t="shared" ca="1" si="12"/>
        <v/>
      </c>
      <c r="W95" s="828" t="str">
        <f t="shared" ca="1" si="13"/>
        <v/>
      </c>
      <c r="X95" s="820" t="str">
        <f>IF(I95="","",IF(COUNTIFS(請求管理!B:B,A95)&gt;0,"✅発行済","❌未発行"))</f>
        <v/>
      </c>
      <c r="Y95" s="821" t="str">
        <f>IF(I95="","",IFERROR(IF(COUNTIFS(請求管理!B:B,A95)=0,"",_xlfn.MAXIFS(請求管理!F:F,請求管理!B:B,A95)),""))</f>
        <v/>
      </c>
      <c r="Z95" s="823" t="str">
        <f>IF(I95="","",IFERROR(IF(COUNTIFS(請求管理!B:B,A95)=0,"",SUMIFS(請求管理!G:G,請求管理!B:B,A95)),""))</f>
        <v/>
      </c>
      <c r="AA95" s="820" t="str">
        <f>IF(I95="","",IF(COUNTIFS(請求管理!B:B,A95)=0,"",IF(SUMIFS(請求管理!J:J,請求管理!B:B,A95)&lt;=0,"✅入金済","❌未入金")))</f>
        <v/>
      </c>
      <c r="AB95" s="821" t="str">
        <f>IF(I95="","",IFERROR(IF(COUNTIFS(請求管理!B:B,A95)=0,"",_xlfn.MAXIFS(請求管理!H:H,請求管理!B:B,A95)),""))</f>
        <v/>
      </c>
      <c r="AC95" s="823" t="str">
        <f>IF(I95="","",IFERROR(IF(COUNTIFS(請求管理!B:B,A95)=0,"",SUMIFS(請求管理!I:I,請求管理!B:B,A95)),""))</f>
        <v/>
      </c>
      <c r="AD95" s="827"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7" t="str">
        <f t="shared" ca="1" si="12"/>
        <v/>
      </c>
      <c r="W96" s="828" t="str">
        <f t="shared" ca="1" si="13"/>
        <v/>
      </c>
      <c r="X96" s="820" t="str">
        <f>IF(I96="","",IF(COUNTIFS(請求管理!B:B,A96)&gt;0,"✅発行済","❌未発行"))</f>
        <v/>
      </c>
      <c r="Y96" s="821" t="str">
        <f>IF(I96="","",IFERROR(IF(COUNTIFS(請求管理!B:B,A96)=0,"",_xlfn.MAXIFS(請求管理!F:F,請求管理!B:B,A96)),""))</f>
        <v/>
      </c>
      <c r="Z96" s="823" t="str">
        <f>IF(I96="","",IFERROR(IF(COUNTIFS(請求管理!B:B,A96)=0,"",SUMIFS(請求管理!G:G,請求管理!B:B,A96)),""))</f>
        <v/>
      </c>
      <c r="AA96" s="820" t="str">
        <f>IF(I96="","",IF(COUNTIFS(請求管理!B:B,A96)=0,"",IF(SUMIFS(請求管理!J:J,請求管理!B:B,A96)&lt;=0,"✅入金済","❌未入金")))</f>
        <v/>
      </c>
      <c r="AB96" s="821" t="str">
        <f>IF(I96="","",IFERROR(IF(COUNTIFS(請求管理!B:B,A96)=0,"",_xlfn.MAXIFS(請求管理!H:H,請求管理!B:B,A96)),""))</f>
        <v/>
      </c>
      <c r="AC96" s="823" t="str">
        <f>IF(I96="","",IFERROR(IF(COUNTIFS(請求管理!B:B,A96)=0,"",SUMIFS(請求管理!I:I,請求管理!B:B,A96)),""))</f>
        <v/>
      </c>
      <c r="AD96" s="827"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7" t="str">
        <f t="shared" ca="1" si="12"/>
        <v/>
      </c>
      <c r="W97" s="828" t="str">
        <f t="shared" ca="1" si="13"/>
        <v/>
      </c>
      <c r="X97" s="820" t="str">
        <f>IF(I97="","",IF(COUNTIFS(請求管理!B:B,A97)&gt;0,"✅発行済","❌未発行"))</f>
        <v/>
      </c>
      <c r="Y97" s="821" t="str">
        <f>IF(I97="","",IFERROR(IF(COUNTIFS(請求管理!B:B,A97)=0,"",_xlfn.MAXIFS(請求管理!F:F,請求管理!B:B,A97)),""))</f>
        <v/>
      </c>
      <c r="Z97" s="823" t="str">
        <f>IF(I97="","",IFERROR(IF(COUNTIFS(請求管理!B:B,A97)=0,"",SUMIFS(請求管理!G:G,請求管理!B:B,A97)),""))</f>
        <v/>
      </c>
      <c r="AA97" s="820" t="str">
        <f>IF(I97="","",IF(COUNTIFS(請求管理!B:B,A97)=0,"",IF(SUMIFS(請求管理!J:J,請求管理!B:B,A97)&lt;=0,"✅入金済","❌未入金")))</f>
        <v/>
      </c>
      <c r="AB97" s="821" t="str">
        <f>IF(I97="","",IFERROR(IF(COUNTIFS(請求管理!B:B,A97)=0,"",_xlfn.MAXIFS(請求管理!H:H,請求管理!B:B,A97)),""))</f>
        <v/>
      </c>
      <c r="AC97" s="823" t="str">
        <f>IF(I97="","",IFERROR(IF(COUNTIFS(請求管理!B:B,A97)=0,"",SUMIFS(請求管理!I:I,請求管理!B:B,A97)),""))</f>
        <v/>
      </c>
      <c r="AD97" s="827"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7" t="str">
        <f t="shared" ca="1" si="12"/>
        <v/>
      </c>
      <c r="W98" s="828" t="str">
        <f t="shared" ca="1" si="13"/>
        <v/>
      </c>
      <c r="X98" s="820" t="str">
        <f>IF(I98="","",IF(COUNTIFS(請求管理!B:B,A98)&gt;0,"✅発行済","❌未発行"))</f>
        <v/>
      </c>
      <c r="Y98" s="821" t="str">
        <f>IF(I98="","",IFERROR(IF(COUNTIFS(請求管理!B:B,A98)=0,"",_xlfn.MAXIFS(請求管理!F:F,請求管理!B:B,A98)),""))</f>
        <v/>
      </c>
      <c r="Z98" s="823" t="str">
        <f>IF(I98="","",IFERROR(IF(COUNTIFS(請求管理!B:B,A98)=0,"",SUMIFS(請求管理!G:G,請求管理!B:B,A98)),""))</f>
        <v/>
      </c>
      <c r="AA98" s="820" t="str">
        <f>IF(I98="","",IF(COUNTIFS(請求管理!B:B,A98)=0,"",IF(SUMIFS(請求管理!J:J,請求管理!B:B,A98)&lt;=0,"✅入金済","❌未入金")))</f>
        <v/>
      </c>
      <c r="AB98" s="821" t="str">
        <f>IF(I98="","",IFERROR(IF(COUNTIFS(請求管理!B:B,A98)=0,"",_xlfn.MAXIFS(請求管理!H:H,請求管理!B:B,A98)),""))</f>
        <v/>
      </c>
      <c r="AC98" s="823" t="str">
        <f>IF(I98="","",IFERROR(IF(COUNTIFS(請求管理!B:B,A98)=0,"",SUMIFS(請求管理!I:I,請求管理!B:B,A98)),""))</f>
        <v/>
      </c>
      <c r="AD98" s="827"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7" t="str">
        <f t="shared" ca="1" si="12"/>
        <v/>
      </c>
      <c r="W99" s="828" t="str">
        <f t="shared" ca="1" si="13"/>
        <v/>
      </c>
      <c r="X99" s="820" t="str">
        <f>IF(I99="","",IF(COUNTIFS(請求管理!B:B,A99)&gt;0,"✅発行済","❌未発行"))</f>
        <v/>
      </c>
      <c r="Y99" s="821" t="str">
        <f>IF(I99="","",IFERROR(IF(COUNTIFS(請求管理!B:B,A99)=0,"",_xlfn.MAXIFS(請求管理!F:F,請求管理!B:B,A99)),""))</f>
        <v/>
      </c>
      <c r="Z99" s="823" t="str">
        <f>IF(I99="","",IFERROR(IF(COUNTIFS(請求管理!B:B,A99)=0,"",SUMIFS(請求管理!G:G,請求管理!B:B,A99)),""))</f>
        <v/>
      </c>
      <c r="AA99" s="820" t="str">
        <f>IF(I99="","",IF(COUNTIFS(請求管理!B:B,A99)=0,"",IF(SUMIFS(請求管理!J:J,請求管理!B:B,A99)&lt;=0,"✅入金済","❌未入金")))</f>
        <v/>
      </c>
      <c r="AB99" s="821" t="str">
        <f>IF(I99="","",IFERROR(IF(COUNTIFS(請求管理!B:B,A99)=0,"",_xlfn.MAXIFS(請求管理!H:H,請求管理!B:B,A99)),""))</f>
        <v/>
      </c>
      <c r="AC99" s="823" t="str">
        <f>IF(I99="","",IFERROR(IF(COUNTIFS(請求管理!B:B,A99)=0,"",SUMIFS(請求管理!I:I,請求管理!B:B,A99)),""))</f>
        <v/>
      </c>
      <c r="AD99" s="827"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7" t="str">
        <f t="shared" ca="1" si="12"/>
        <v/>
      </c>
      <c r="W100" s="828" t="str">
        <f t="shared" ca="1" si="13"/>
        <v/>
      </c>
      <c r="X100" s="820" t="str">
        <f>IF(I100="","",IF(COUNTIFS(請求管理!B:B,A100)&gt;0,"✅発行済","❌未発行"))</f>
        <v/>
      </c>
      <c r="Y100" s="821" t="str">
        <f>IF(I100="","",IFERROR(IF(COUNTIFS(請求管理!B:B,A100)=0,"",_xlfn.MAXIFS(請求管理!F:F,請求管理!B:B,A100)),""))</f>
        <v/>
      </c>
      <c r="Z100" s="823" t="str">
        <f>IF(I100="","",IFERROR(IF(COUNTIFS(請求管理!B:B,A100)=0,"",SUMIFS(請求管理!G:G,請求管理!B:B,A100)),""))</f>
        <v/>
      </c>
      <c r="AA100" s="820" t="str">
        <f>IF(I100="","",IF(COUNTIFS(請求管理!B:B,A100)=0,"",IF(SUMIFS(請求管理!J:J,請求管理!B:B,A100)&lt;=0,"✅入金済","❌未入金")))</f>
        <v/>
      </c>
      <c r="AB100" s="821" t="str">
        <f>IF(I100="","",IFERROR(IF(COUNTIFS(請求管理!B:B,A100)=0,"",_xlfn.MAXIFS(請求管理!H:H,請求管理!B:B,A100)),""))</f>
        <v/>
      </c>
      <c r="AC100" s="823" t="str">
        <f>IF(I100="","",IFERROR(IF(COUNTIFS(請求管理!B:B,A100)=0,"",SUMIFS(請求管理!I:I,請求管理!B:B,A100)),""))</f>
        <v/>
      </c>
      <c r="AD100" s="827"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7" t="str">
        <f t="shared" ca="1" si="12"/>
        <v/>
      </c>
      <c r="W101" s="828" t="str">
        <f t="shared" ca="1" si="13"/>
        <v/>
      </c>
      <c r="X101" s="820" t="str">
        <f>IF(I101="","",IF(COUNTIFS(請求管理!B:B,A101)&gt;0,"✅発行済","❌未発行"))</f>
        <v/>
      </c>
      <c r="Y101" s="821" t="str">
        <f>IF(I101="","",IFERROR(IF(COUNTIFS(請求管理!B:B,A101)=0,"",_xlfn.MAXIFS(請求管理!F:F,請求管理!B:B,A101)),""))</f>
        <v/>
      </c>
      <c r="Z101" s="823" t="str">
        <f>IF(I101="","",IFERROR(IF(COUNTIFS(請求管理!B:B,A101)=0,"",SUMIFS(請求管理!G:G,請求管理!B:B,A101)),""))</f>
        <v/>
      </c>
      <c r="AA101" s="820" t="str">
        <f>IF(I101="","",IF(COUNTIFS(請求管理!B:B,A101)=0,"",IF(SUMIFS(請求管理!J:J,請求管理!B:B,A101)&lt;=0,"✅入金済","❌未入金")))</f>
        <v/>
      </c>
      <c r="AB101" s="821" t="str">
        <f>IF(I101="","",IFERROR(IF(COUNTIFS(請求管理!B:B,A101)=0,"",_xlfn.MAXIFS(請求管理!H:H,請求管理!B:B,A101)),""))</f>
        <v/>
      </c>
      <c r="AC101" s="823" t="str">
        <f>IF(I101="","",IFERROR(IF(COUNTIFS(請求管理!B:B,A101)=0,"",SUMIFS(請求管理!I:I,請求管理!B:B,A101)),""))</f>
        <v/>
      </c>
      <c r="AD101" s="827"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7" t="str">
        <f t="shared" ca="1" si="12"/>
        <v/>
      </c>
      <c r="W102" s="828" t="str">
        <f t="shared" ca="1" si="13"/>
        <v/>
      </c>
      <c r="X102" s="820" t="str">
        <f>IF(I102="","",IF(COUNTIFS(請求管理!B:B,A102)&gt;0,"✅発行済","❌未発行"))</f>
        <v/>
      </c>
      <c r="Y102" s="821" t="str">
        <f>IF(I102="","",IFERROR(IF(COUNTIFS(請求管理!B:B,A102)=0,"",_xlfn.MAXIFS(請求管理!F:F,請求管理!B:B,A102)),""))</f>
        <v/>
      </c>
      <c r="Z102" s="823" t="str">
        <f>IF(I102="","",IFERROR(IF(COUNTIFS(請求管理!B:B,A102)=0,"",SUMIFS(請求管理!G:G,請求管理!B:B,A102)),""))</f>
        <v/>
      </c>
      <c r="AA102" s="820" t="str">
        <f>IF(I102="","",IF(COUNTIFS(請求管理!B:B,A102)=0,"",IF(SUMIFS(請求管理!J:J,請求管理!B:B,A102)&lt;=0,"✅入金済","❌未入金")))</f>
        <v/>
      </c>
      <c r="AB102" s="821" t="str">
        <f>IF(I102="","",IFERROR(IF(COUNTIFS(請求管理!B:B,A102)=0,"",_xlfn.MAXIFS(請求管理!H:H,請求管理!B:B,A102)),""))</f>
        <v/>
      </c>
      <c r="AC102" s="823" t="str">
        <f>IF(I102="","",IFERROR(IF(COUNTIFS(請求管理!B:B,A102)=0,"",SUMIFS(請求管理!I:I,請求管理!B:B,A102)),""))</f>
        <v/>
      </c>
      <c r="AD102" s="827"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7" t="str">
        <f t="shared" ca="1" si="12"/>
        <v/>
      </c>
      <c r="W103" s="828" t="str">
        <f t="shared" ca="1" si="13"/>
        <v/>
      </c>
      <c r="X103" s="820" t="str">
        <f>IF(I103="","",IF(COUNTIFS(請求管理!B:B,A103)&gt;0,"✅発行済","❌未発行"))</f>
        <v/>
      </c>
      <c r="Y103" s="821" t="str">
        <f>IF(I103="","",IFERROR(IF(COUNTIFS(請求管理!B:B,A103)=0,"",_xlfn.MAXIFS(請求管理!F:F,請求管理!B:B,A103)),""))</f>
        <v/>
      </c>
      <c r="Z103" s="823" t="str">
        <f>IF(I103="","",IFERROR(IF(COUNTIFS(請求管理!B:B,A103)=0,"",SUMIFS(請求管理!G:G,請求管理!B:B,A103)),""))</f>
        <v/>
      </c>
      <c r="AA103" s="820" t="str">
        <f>IF(I103="","",IF(COUNTIFS(請求管理!B:B,A103)=0,"",IF(SUMIFS(請求管理!J:J,請求管理!B:B,A103)&lt;=0,"✅入金済","❌未入金")))</f>
        <v/>
      </c>
      <c r="AB103" s="821" t="str">
        <f>IF(I103="","",IFERROR(IF(COUNTIFS(請求管理!B:B,A103)=0,"",_xlfn.MAXIFS(請求管理!H:H,請求管理!B:B,A103)),""))</f>
        <v/>
      </c>
      <c r="AC103" s="823" t="str">
        <f>IF(I103="","",IFERROR(IF(COUNTIFS(請求管理!B:B,A103)=0,"",SUMIFS(請求管理!I:I,請求管理!B:B,A103)),""))</f>
        <v/>
      </c>
      <c r="AD103" s="827"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7" t="str">
        <f t="shared" ca="1" si="12"/>
        <v/>
      </c>
      <c r="W104" s="828" t="str">
        <f t="shared" ca="1" si="13"/>
        <v/>
      </c>
      <c r="X104" s="820" t="str">
        <f>IF(I104="","",IF(COUNTIFS(請求管理!B:B,A104)&gt;0,"✅発行済","❌未発行"))</f>
        <v/>
      </c>
      <c r="Y104" s="821" t="str">
        <f>IF(I104="","",IFERROR(IF(COUNTIFS(請求管理!B:B,A104)=0,"",_xlfn.MAXIFS(請求管理!F:F,請求管理!B:B,A104)),""))</f>
        <v/>
      </c>
      <c r="Z104" s="823" t="str">
        <f>IF(I104="","",IFERROR(IF(COUNTIFS(請求管理!B:B,A104)=0,"",SUMIFS(請求管理!G:G,請求管理!B:B,A104)),""))</f>
        <v/>
      </c>
      <c r="AA104" s="820" t="str">
        <f>IF(I104="","",IF(COUNTIFS(請求管理!B:B,A104)=0,"",IF(SUMIFS(請求管理!J:J,請求管理!B:B,A104)&lt;=0,"✅入金済","❌未入金")))</f>
        <v/>
      </c>
      <c r="AB104" s="821" t="str">
        <f>IF(I104="","",IFERROR(IF(COUNTIFS(請求管理!B:B,A104)=0,"",_xlfn.MAXIFS(請求管理!H:H,請求管理!B:B,A104)),""))</f>
        <v/>
      </c>
      <c r="AC104" s="823" t="str">
        <f>IF(I104="","",IFERROR(IF(COUNTIFS(請求管理!B:B,A104)=0,"",SUMIFS(請求管理!I:I,請求管理!B:B,A104)),""))</f>
        <v/>
      </c>
      <c r="AD104" s="827"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670</v>
      </c>
      <c r="B1" s="425"/>
      <c r="C1" s="425"/>
      <c r="D1" s="425"/>
      <c r="E1" s="425"/>
      <c r="F1" s="425"/>
      <c r="G1" s="425"/>
      <c r="H1" s="425"/>
      <c r="I1" s="425"/>
      <c r="J1" s="425"/>
      <c r="K1" s="425"/>
      <c r="L1" s="425"/>
      <c r="M1" s="425"/>
      <c r="N1" s="425"/>
      <c r="O1" s="425"/>
      <c r="P1" s="425"/>
      <c r="Q1" s="425"/>
      <c r="R1" s="425"/>
    </row>
    <row r="2" spans="1:18" ht="16" customHeight="1">
      <c r="A2" s="479" t="s">
        <v>671</v>
      </c>
      <c r="B2" s="425"/>
      <c r="C2" s="425"/>
      <c r="D2" s="425"/>
      <c r="E2" s="425"/>
      <c r="F2" s="425"/>
      <c r="G2" s="425"/>
      <c r="H2" s="425"/>
      <c r="I2" s="425"/>
      <c r="J2" s="425"/>
      <c r="K2" s="425"/>
      <c r="L2" s="425"/>
      <c r="M2" s="425"/>
      <c r="N2" s="425"/>
      <c r="O2" s="425"/>
      <c r="P2" s="425"/>
      <c r="Q2" s="425"/>
      <c r="R2" s="425"/>
    </row>
    <row r="4" spans="1:18" ht="15">
      <c r="A4" s="480" t="s">
        <v>672</v>
      </c>
    </row>
    <row r="5" spans="1:18">
      <c r="A5" s="587" t="s">
        <v>579</v>
      </c>
      <c r="B5" s="492"/>
      <c r="C5" s="396"/>
      <c r="D5" s="587" t="s">
        <v>546</v>
      </c>
      <c r="E5" s="492"/>
      <c r="F5" s="587" t="s">
        <v>339</v>
      </c>
      <c r="G5" s="381" t="str">
        <f>IFERROR(VLOOKUP(E5,顧客マスタ!A:C,3,FALSE),"")</f>
        <v/>
      </c>
      <c r="H5" s="396"/>
      <c r="I5" s="587" t="s">
        <v>673</v>
      </c>
      <c r="J5" s="381" t="str">
        <f>IFERROR(VLOOKUP(E5,顧客マスタ!A:D,4,FALSE),"")</f>
        <v/>
      </c>
      <c r="M5" s="587" t="s">
        <v>410</v>
      </c>
      <c r="N5" s="492"/>
    </row>
    <row r="6" spans="1:18">
      <c r="A6" s="587" t="s">
        <v>674</v>
      </c>
      <c r="B6" s="492"/>
      <c r="C6" s="396"/>
      <c r="D6" s="396"/>
      <c r="E6" s="396"/>
      <c r="F6" s="587" t="s">
        <v>340</v>
      </c>
      <c r="G6" s="492"/>
      <c r="H6" s="396"/>
      <c r="I6" s="396"/>
      <c r="J6" s="396"/>
      <c r="M6" s="587" t="s">
        <v>590</v>
      </c>
      <c r="N6" s="588">
        <f ca="1">TODAY()</f>
        <v>46064</v>
      </c>
    </row>
    <row r="7" spans="1:18" ht="15">
      <c r="A7" s="589" t="s">
        <v>675</v>
      </c>
      <c r="B7" s="590">
        <v>0.3</v>
      </c>
      <c r="C7" s="591"/>
      <c r="D7" s="592" t="s">
        <v>676</v>
      </c>
      <c r="E7" s="591"/>
      <c r="F7" s="593"/>
      <c r="G7" s="593"/>
      <c r="H7" s="593"/>
      <c r="I7" s="593"/>
      <c r="J7" s="593"/>
      <c r="K7" s="593"/>
      <c r="L7" s="593"/>
      <c r="M7" s="593"/>
      <c r="N7" s="593"/>
    </row>
    <row r="9" spans="1:18" ht="15">
      <c r="A9" s="480" t="s">
        <v>677</v>
      </c>
    </row>
    <row r="11" spans="1:18">
      <c r="A11" s="377" t="s">
        <v>678</v>
      </c>
    </row>
    <row r="12" spans="1:18">
      <c r="A12" s="644" t="s">
        <v>902</v>
      </c>
    </row>
    <row r="13" spans="1:18" ht="18" customHeight="1" thickBot="1">
      <c r="A13" s="483"/>
      <c r="B13" s="483" t="s">
        <v>679</v>
      </c>
      <c r="C13" s="484"/>
      <c r="D13" s="484"/>
      <c r="E13" s="484"/>
      <c r="F13" s="484"/>
      <c r="G13" s="484"/>
      <c r="H13" s="417" t="s">
        <v>680</v>
      </c>
      <c r="I13" s="418"/>
      <c r="J13" s="418"/>
      <c r="K13" s="418"/>
      <c r="L13" s="422" t="s">
        <v>681</v>
      </c>
      <c r="M13" s="423"/>
      <c r="N13" s="421" t="s">
        <v>682</v>
      </c>
      <c r="O13" s="339"/>
      <c r="P13" s="339"/>
      <c r="Q13" s="339"/>
      <c r="R13" s="339"/>
    </row>
    <row r="14" spans="1:18" ht="22" customHeight="1" thickBot="1">
      <c r="A14" s="551" t="s">
        <v>321</v>
      </c>
      <c r="B14" s="552" t="s">
        <v>683</v>
      </c>
      <c r="C14" s="552" t="s">
        <v>443</v>
      </c>
      <c r="D14" s="552" t="s">
        <v>350</v>
      </c>
      <c r="E14" s="552" t="s">
        <v>352</v>
      </c>
      <c r="F14" s="553" t="s">
        <v>684</v>
      </c>
      <c r="G14" s="554" t="s">
        <v>685</v>
      </c>
      <c r="H14" s="555" t="s">
        <v>444</v>
      </c>
      <c r="I14" s="556" t="s">
        <v>686</v>
      </c>
      <c r="J14" s="557" t="s">
        <v>687</v>
      </c>
      <c r="K14" s="558" t="s">
        <v>688</v>
      </c>
      <c r="L14" s="559" t="s">
        <v>689</v>
      </c>
      <c r="M14" s="560" t="s">
        <v>690</v>
      </c>
      <c r="N14" s="561" t="s">
        <v>691</v>
      </c>
      <c r="O14" s="562" t="s">
        <v>692</v>
      </c>
      <c r="P14" s="562" t="s">
        <v>693</v>
      </c>
      <c r="Q14" s="562" t="s">
        <v>694</v>
      </c>
      <c r="R14" s="563" t="s">
        <v>164</v>
      </c>
    </row>
    <row r="15" spans="1:18">
      <c r="A15" s="537">
        <v>1</v>
      </c>
      <c r="B15" s="538"/>
      <c r="C15" s="539"/>
      <c r="D15" s="539"/>
      <c r="E15" s="539" t="str">
        <f>IF(AND(C15&lt;&gt;"",D15&lt;&gt;""),IFERROR(INDEX(工事項目DB!D:D,MATCH(C15&amp;"|"&amp;D15,工事項目DB!L:L,0)),""),"")</f>
        <v/>
      </c>
      <c r="F15" s="540" t="str">
        <f>IF(AND(C15&lt;&gt;"",D15&lt;&gt;""),IFERROR(INDEX(工事項目DB!F:F,MATCH(C15&amp;"|"&amp;D15,工事項目DB!L:L,0)),""),"")</f>
        <v/>
      </c>
      <c r="G15" s="541" t="str">
        <f t="shared" ref="G15:G44" si="0">IF(F15&lt;&gt;"",F15*I15,"")</f>
        <v/>
      </c>
      <c r="H15" s="542" t="str">
        <f>IF(AND(C15&lt;&gt;"",D15&lt;&gt;""),IFERROR(INDEX(工事項目DB!E:E,MATCH(C15&amp;"|"&amp;D15,工事項目DB!L:L,0)),""),"")</f>
        <v/>
      </c>
      <c r="I15" s="538"/>
      <c r="J15" s="543" t="str">
        <f>IF(B15="A",IF(AND(F15&lt;&gt;"",I15&lt;&gt;""),ROUND(F15/(1-$B$7),0),""),"")</f>
        <v/>
      </c>
      <c r="K15" s="544" t="str">
        <f t="shared" ref="K15:K44" si="1">IF(AND(J15&lt;&gt;"",I15&lt;&gt;""),J15*I15,"")</f>
        <v/>
      </c>
      <c r="L15" s="545" t="str">
        <f t="shared" ref="L15:L44" si="2">IF(AND(K15&lt;&gt;"",G15&lt;&gt;""),K15-G15,"")</f>
        <v/>
      </c>
      <c r="M15" s="955" t="str">
        <f>IFERROR(IF(AND(K15&lt;&gt;"",K15&lt;&gt;0),L15/K15,""),"")</f>
        <v/>
      </c>
      <c r="N15" s="546"/>
      <c r="O15" s="547"/>
      <c r="P15" s="548" t="str">
        <f t="shared" ref="P15:P44" si="3">IF(N15&lt;&gt;"",G15,"")</f>
        <v/>
      </c>
      <c r="Q15" s="549"/>
      <c r="R15" s="550"/>
    </row>
    <row r="16" spans="1:18">
      <c r="A16" s="523">
        <v>2</v>
      </c>
      <c r="B16" s="524"/>
      <c r="C16" s="525"/>
      <c r="D16" s="526"/>
      <c r="E16" s="524" t="str">
        <f>IF(AND(C16&lt;&gt;"",D16&lt;&gt;""),IFERROR(INDEX(工事項目DB!D:D,MATCH(C16&amp;"|"&amp;D16,工事項目DB!L:L,0)),""),"")</f>
        <v/>
      </c>
      <c r="F16" s="530" t="str">
        <f>IF(AND(C16&lt;&gt;"",D16&lt;&gt;""),IFERROR(INDEX(工事項目DB!F:F,MATCH(C16&amp;"|"&amp;D16,工事項目DB!L:L,0)),""),"")</f>
        <v/>
      </c>
      <c r="G16" s="533" t="str">
        <f t="shared" si="0"/>
        <v/>
      </c>
      <c r="H16" s="532" t="str">
        <f>IF(AND(C16&lt;&gt;"",D16&lt;&gt;""),IFERROR(INDEX(工事項目DB!E:E,MATCH(C16&amp;"|"&amp;D16,工事項目DB!L:L,0)),""),"")</f>
        <v/>
      </c>
      <c r="I16" s="524"/>
      <c r="J16" s="534"/>
      <c r="K16" s="535" t="str">
        <f t="shared" si="1"/>
        <v/>
      </c>
      <c r="L16" s="521" t="str">
        <f t="shared" si="2"/>
        <v/>
      </c>
      <c r="M16" s="955" t="str">
        <f t="shared" ref="M16:M44" si="4">IFERROR(IF(AND(K16&lt;&gt;"",K16&lt;&gt;0),L16/K16,""),"")</f>
        <v/>
      </c>
      <c r="N16" s="536"/>
      <c r="O16" s="499"/>
      <c r="P16" s="499" t="str">
        <f t="shared" si="3"/>
        <v/>
      </c>
      <c r="Q16" s="499"/>
      <c r="R16" s="506"/>
    </row>
    <row r="17" spans="1:18">
      <c r="A17" s="527">
        <v>3</v>
      </c>
      <c r="B17" s="500"/>
      <c r="C17" s="528"/>
      <c r="D17" s="529"/>
      <c r="E17" s="500" t="str">
        <f>IF(AND(C17&lt;&gt;"",D17&lt;&gt;""),IFERROR(INDEX(工事項目DB!D:D,MATCH(C17&amp;"|"&amp;D17,工事項目DB!L:L,0)),""),"")</f>
        <v/>
      </c>
      <c r="F17" s="531" t="str">
        <f>IF(AND(C17&lt;&gt;"",D17&lt;&gt;""),IFERROR(INDEX(工事項目DB!F:F,MATCH(C17&amp;"|"&amp;D17,工事項目DB!L:L,0)),""),"")</f>
        <v/>
      </c>
      <c r="G17" s="533" t="str">
        <f t="shared" si="0"/>
        <v/>
      </c>
      <c r="H17" s="532" t="str">
        <f>IF(AND(C17&lt;&gt;"",D17&lt;&gt;""),IFERROR(INDEX(工事項目DB!E:E,MATCH(C17&amp;"|"&amp;D17,工事項目DB!L:L,0)),""),"")</f>
        <v/>
      </c>
      <c r="I17" s="524"/>
      <c r="J17" s="534"/>
      <c r="K17" s="535" t="str">
        <f t="shared" si="1"/>
        <v/>
      </c>
      <c r="L17" s="521" t="str">
        <f t="shared" si="2"/>
        <v/>
      </c>
      <c r="M17" s="955" t="str">
        <f t="shared" si="4"/>
        <v/>
      </c>
      <c r="N17" s="536"/>
      <c r="O17" s="499"/>
      <c r="P17" s="499" t="str">
        <f t="shared" si="3"/>
        <v/>
      </c>
      <c r="Q17" s="499"/>
      <c r="R17" s="506"/>
    </row>
    <row r="18" spans="1:18">
      <c r="A18" s="523">
        <v>4</v>
      </c>
      <c r="B18" s="524"/>
      <c r="C18" s="525" t="s">
        <v>435</v>
      </c>
      <c r="D18" s="526"/>
      <c r="E18" s="524" t="str">
        <f>IF(AND(C18&lt;&gt;"",D18&lt;&gt;""),IFERROR(INDEX(工事項目DB!D:D,MATCH(C18&amp;"|"&amp;D18,工事項目DB!L:L,0)),""),"")</f>
        <v/>
      </c>
      <c r="F18" s="530" t="str">
        <f>IF(AND(C18&lt;&gt;"",D18&lt;&gt;""),IFERROR(INDEX(工事項目DB!F:F,MATCH(C18&amp;"|"&amp;D18,工事項目DB!L:L,0)),""),"")</f>
        <v/>
      </c>
      <c r="G18" s="533" t="str">
        <f t="shared" si="0"/>
        <v/>
      </c>
      <c r="H18" s="532" t="str">
        <f>IF(AND(C18&lt;&gt;"",D18&lt;&gt;""),IFERROR(INDEX(工事項目DB!E:E,MATCH(C18&amp;"|"&amp;D18,工事項目DB!L:L,0)),""),"")</f>
        <v/>
      </c>
      <c r="I18" s="524"/>
      <c r="J18" s="534" t="str">
        <f t="shared" ref="J18:J44" si="5">IF(B18="A",IF(AND(F18&lt;&gt;"",I18&lt;&gt;""),ROUND(F18/(1-$B$7),0),""),"")</f>
        <v/>
      </c>
      <c r="K18" s="535" t="str">
        <f t="shared" si="1"/>
        <v/>
      </c>
      <c r="L18" s="521" t="str">
        <f t="shared" si="2"/>
        <v/>
      </c>
      <c r="M18" s="955" t="str">
        <f t="shared" si="4"/>
        <v/>
      </c>
      <c r="N18" s="536"/>
      <c r="O18" s="499"/>
      <c r="P18" s="499" t="str">
        <f t="shared" si="3"/>
        <v/>
      </c>
      <c r="Q18" s="499"/>
      <c r="R18" s="506"/>
    </row>
    <row r="19" spans="1:18">
      <c r="A19" s="527">
        <v>5</v>
      </c>
      <c r="B19" s="500"/>
      <c r="C19" s="528"/>
      <c r="D19" s="529"/>
      <c r="E19" s="500" t="str">
        <f>IF(AND(C19&lt;&gt;"",D19&lt;&gt;""),IFERROR(INDEX(工事項目DB!D:D,MATCH(C19&amp;"|"&amp;D19,工事項目DB!L:L,0)),""),"")</f>
        <v/>
      </c>
      <c r="F19" s="531" t="str">
        <f>IF(AND(C19&lt;&gt;"",D19&lt;&gt;""),IFERROR(INDEX(工事項目DB!F:F,MATCH(C19&amp;"|"&amp;D19,工事項目DB!L:L,0)),""),"")</f>
        <v/>
      </c>
      <c r="G19" s="533" t="str">
        <f t="shared" si="0"/>
        <v/>
      </c>
      <c r="H19" s="532" t="str">
        <f>IF(AND(C19&lt;&gt;"",D19&lt;&gt;""),IFERROR(INDEX(工事項目DB!E:E,MATCH(C19&amp;"|"&amp;D19,工事項目DB!L:L,0)),""),"")</f>
        <v/>
      </c>
      <c r="I19" s="524"/>
      <c r="J19" s="534" t="str">
        <f t="shared" si="5"/>
        <v/>
      </c>
      <c r="K19" s="535" t="str">
        <f t="shared" si="1"/>
        <v/>
      </c>
      <c r="L19" s="521" t="str">
        <f t="shared" si="2"/>
        <v/>
      </c>
      <c r="M19" s="955" t="str">
        <f t="shared" si="4"/>
        <v/>
      </c>
      <c r="N19" s="536"/>
      <c r="O19" s="499"/>
      <c r="P19" s="499" t="str">
        <f t="shared" si="3"/>
        <v/>
      </c>
      <c r="Q19" s="499"/>
      <c r="R19" s="506"/>
    </row>
    <row r="20" spans="1:18">
      <c r="A20" s="523">
        <v>6</v>
      </c>
      <c r="B20" s="524"/>
      <c r="C20" s="525"/>
      <c r="D20" s="526"/>
      <c r="E20" s="524" t="str">
        <f>IF(AND(C20&lt;&gt;"",D20&lt;&gt;""),IFERROR(INDEX(工事項目DB!D:D,MATCH(C20&amp;"|"&amp;D20,工事項目DB!L:L,0)),""),"")</f>
        <v/>
      </c>
      <c r="F20" s="530" t="str">
        <f>IF(AND(C20&lt;&gt;"",D20&lt;&gt;""),IFERROR(INDEX(工事項目DB!F:F,MATCH(C20&amp;"|"&amp;D20,工事項目DB!L:L,0)),""),"")</f>
        <v/>
      </c>
      <c r="G20" s="533" t="str">
        <f t="shared" si="0"/>
        <v/>
      </c>
      <c r="H20" s="532" t="str">
        <f>IF(AND(C20&lt;&gt;"",D20&lt;&gt;""),IFERROR(INDEX(工事項目DB!E:E,MATCH(C20&amp;"|"&amp;D20,工事項目DB!L:L,0)),""),"")</f>
        <v/>
      </c>
      <c r="I20" s="524"/>
      <c r="J20" s="534" t="str">
        <f t="shared" si="5"/>
        <v/>
      </c>
      <c r="K20" s="535" t="str">
        <f t="shared" si="1"/>
        <v/>
      </c>
      <c r="L20" s="521" t="str">
        <f t="shared" si="2"/>
        <v/>
      </c>
      <c r="M20" s="955" t="str">
        <f t="shared" si="4"/>
        <v/>
      </c>
      <c r="N20" s="536"/>
      <c r="O20" s="499"/>
      <c r="P20" s="499" t="str">
        <f t="shared" si="3"/>
        <v/>
      </c>
      <c r="Q20" s="499"/>
      <c r="R20" s="506"/>
    </row>
    <row r="21" spans="1:18">
      <c r="A21" s="527">
        <v>7</v>
      </c>
      <c r="B21" s="500"/>
      <c r="C21" s="528"/>
      <c r="D21" s="529"/>
      <c r="E21" s="500" t="str">
        <f>IF(AND(C21&lt;&gt;"",D21&lt;&gt;""),IFERROR(INDEX(工事項目DB!D:D,MATCH(C21&amp;"|"&amp;D21,工事項目DB!L:L,0)),""),"")</f>
        <v/>
      </c>
      <c r="F21" s="531" t="str">
        <f>IF(AND(C21&lt;&gt;"",D21&lt;&gt;""),IFERROR(INDEX(工事項目DB!F:F,MATCH(C21&amp;"|"&amp;D21,工事項目DB!L:L,0)),""),"")</f>
        <v/>
      </c>
      <c r="G21" s="533" t="str">
        <f t="shared" si="0"/>
        <v/>
      </c>
      <c r="H21" s="532" t="str">
        <f>IF(AND(C21&lt;&gt;"",D21&lt;&gt;""),IFERROR(INDEX(工事項目DB!E:E,MATCH(C21&amp;"|"&amp;D21,工事項目DB!L:L,0)),""),"")</f>
        <v/>
      </c>
      <c r="I21" s="524"/>
      <c r="J21" s="534" t="str">
        <f t="shared" si="5"/>
        <v/>
      </c>
      <c r="K21" s="535" t="str">
        <f t="shared" si="1"/>
        <v/>
      </c>
      <c r="L21" s="521" t="str">
        <f t="shared" si="2"/>
        <v/>
      </c>
      <c r="M21" s="955" t="str">
        <f t="shared" si="4"/>
        <v/>
      </c>
      <c r="N21" s="536"/>
      <c r="O21" s="499"/>
      <c r="P21" s="499" t="str">
        <f t="shared" si="3"/>
        <v/>
      </c>
      <c r="Q21" s="499"/>
      <c r="R21" s="506"/>
    </row>
    <row r="22" spans="1:18">
      <c r="A22" s="523">
        <v>8</v>
      </c>
      <c r="B22" s="524"/>
      <c r="C22" s="525"/>
      <c r="D22" s="526"/>
      <c r="E22" s="524" t="str">
        <f>IF(AND(C22&lt;&gt;"",D22&lt;&gt;""),IFERROR(INDEX(工事項目DB!D:D,MATCH(C22&amp;"|"&amp;D22,工事項目DB!L:L,0)),""),"")</f>
        <v/>
      </c>
      <c r="F22" s="530" t="str">
        <f>IF(AND(C22&lt;&gt;"",D22&lt;&gt;""),IFERROR(INDEX(工事項目DB!F:F,MATCH(C22&amp;"|"&amp;D22,工事項目DB!L:L,0)),""),"")</f>
        <v/>
      </c>
      <c r="G22" s="533" t="str">
        <f t="shared" si="0"/>
        <v/>
      </c>
      <c r="H22" s="532" t="str">
        <f>IF(AND(C22&lt;&gt;"",D22&lt;&gt;""),IFERROR(INDEX(工事項目DB!E:E,MATCH(C22&amp;"|"&amp;D22,工事項目DB!L:L,0)),""),"")</f>
        <v/>
      </c>
      <c r="I22" s="524"/>
      <c r="J22" s="534" t="str">
        <f t="shared" si="5"/>
        <v/>
      </c>
      <c r="K22" s="535" t="str">
        <f t="shared" si="1"/>
        <v/>
      </c>
      <c r="L22" s="521" t="str">
        <f t="shared" si="2"/>
        <v/>
      </c>
      <c r="M22" s="955" t="str">
        <f t="shared" si="4"/>
        <v/>
      </c>
      <c r="N22" s="536"/>
      <c r="O22" s="499"/>
      <c r="P22" s="499" t="str">
        <f t="shared" si="3"/>
        <v/>
      </c>
      <c r="Q22" s="499"/>
      <c r="R22" s="506"/>
    </row>
    <row r="23" spans="1:18">
      <c r="A23" s="527">
        <v>9</v>
      </c>
      <c r="B23" s="500"/>
      <c r="C23" s="528"/>
      <c r="D23" s="529"/>
      <c r="E23" s="500" t="str">
        <f>IF(AND(C23&lt;&gt;"",D23&lt;&gt;""),IFERROR(INDEX(工事項目DB!D:D,MATCH(C23&amp;"|"&amp;D23,工事項目DB!L:L,0)),""),"")</f>
        <v/>
      </c>
      <c r="F23" s="531" t="str">
        <f>IF(AND(C23&lt;&gt;"",D23&lt;&gt;""),IFERROR(INDEX(工事項目DB!F:F,MATCH(C23&amp;"|"&amp;D23,工事項目DB!L:L,0)),""),"")</f>
        <v/>
      </c>
      <c r="G23" s="533" t="str">
        <f t="shared" si="0"/>
        <v/>
      </c>
      <c r="H23" s="532" t="str">
        <f>IF(AND(C23&lt;&gt;"",D23&lt;&gt;""),IFERROR(INDEX(工事項目DB!E:E,MATCH(C23&amp;"|"&amp;D23,工事項目DB!L:L,0)),""),"")</f>
        <v/>
      </c>
      <c r="I23" s="524"/>
      <c r="J23" s="534" t="str">
        <f t="shared" si="5"/>
        <v/>
      </c>
      <c r="K23" s="535" t="str">
        <f t="shared" si="1"/>
        <v/>
      </c>
      <c r="L23" s="521" t="str">
        <f t="shared" si="2"/>
        <v/>
      </c>
      <c r="M23" s="955" t="str">
        <f t="shared" si="4"/>
        <v/>
      </c>
      <c r="N23" s="536"/>
      <c r="O23" s="499"/>
      <c r="P23" s="499" t="str">
        <f t="shared" si="3"/>
        <v/>
      </c>
      <c r="Q23" s="499"/>
      <c r="R23" s="506"/>
    </row>
    <row r="24" spans="1:18">
      <c r="A24" s="523">
        <v>10</v>
      </c>
      <c r="B24" s="524"/>
      <c r="C24" s="525"/>
      <c r="D24" s="526"/>
      <c r="E24" s="524" t="str">
        <f>IF(AND(C24&lt;&gt;"",D24&lt;&gt;""),IFERROR(INDEX(工事項目DB!D:D,MATCH(C24&amp;"|"&amp;D24,工事項目DB!L:L,0)),""),"")</f>
        <v/>
      </c>
      <c r="F24" s="530" t="str">
        <f>IF(AND(C24&lt;&gt;"",D24&lt;&gt;""),IFERROR(INDEX(工事項目DB!F:F,MATCH(C24&amp;"|"&amp;D24,工事項目DB!L:L,0)),""),"")</f>
        <v/>
      </c>
      <c r="G24" s="533" t="str">
        <f t="shared" si="0"/>
        <v/>
      </c>
      <c r="H24" s="532" t="str">
        <f>IF(AND(C24&lt;&gt;"",D24&lt;&gt;""),IFERROR(INDEX(工事項目DB!E:E,MATCH(C24&amp;"|"&amp;D24,工事項目DB!L:L,0)),""),"")</f>
        <v/>
      </c>
      <c r="I24" s="524"/>
      <c r="J24" s="534" t="str">
        <f t="shared" si="5"/>
        <v/>
      </c>
      <c r="K24" s="535" t="str">
        <f t="shared" si="1"/>
        <v/>
      </c>
      <c r="L24" s="521" t="str">
        <f t="shared" si="2"/>
        <v/>
      </c>
      <c r="M24" s="955" t="str">
        <f t="shared" si="4"/>
        <v/>
      </c>
      <c r="N24" s="536"/>
      <c r="O24" s="499"/>
      <c r="P24" s="499" t="str">
        <f t="shared" si="3"/>
        <v/>
      </c>
      <c r="Q24" s="499"/>
      <c r="R24" s="506"/>
    </row>
    <row r="25" spans="1:18">
      <c r="A25" s="527">
        <v>11</v>
      </c>
      <c r="B25" s="500"/>
      <c r="C25" s="528"/>
      <c r="D25" s="529"/>
      <c r="E25" s="500" t="str">
        <f>IF(AND(C25&lt;&gt;"",D25&lt;&gt;""),IFERROR(INDEX(工事項目DB!D:D,MATCH(C25&amp;"|"&amp;D25,工事項目DB!L:L,0)),""),"")</f>
        <v/>
      </c>
      <c r="F25" s="531" t="str">
        <f>IF(AND(C25&lt;&gt;"",D25&lt;&gt;""),IFERROR(INDEX(工事項目DB!F:F,MATCH(C25&amp;"|"&amp;D25,工事項目DB!L:L,0)),""),"")</f>
        <v/>
      </c>
      <c r="G25" s="533" t="str">
        <f t="shared" si="0"/>
        <v/>
      </c>
      <c r="H25" s="532" t="str">
        <f>IF(AND(C25&lt;&gt;"",D25&lt;&gt;""),IFERROR(INDEX(工事項目DB!E:E,MATCH(C25&amp;"|"&amp;D25,工事項目DB!L:L,0)),""),"")</f>
        <v/>
      </c>
      <c r="I25" s="524"/>
      <c r="J25" s="534" t="str">
        <f t="shared" si="5"/>
        <v/>
      </c>
      <c r="K25" s="535" t="str">
        <f t="shared" si="1"/>
        <v/>
      </c>
      <c r="L25" s="521" t="str">
        <f t="shared" si="2"/>
        <v/>
      </c>
      <c r="M25" s="955" t="str">
        <f t="shared" si="4"/>
        <v/>
      </c>
      <c r="N25" s="536"/>
      <c r="O25" s="499"/>
      <c r="P25" s="499" t="str">
        <f t="shared" si="3"/>
        <v/>
      </c>
      <c r="Q25" s="499"/>
      <c r="R25" s="506"/>
    </row>
    <row r="26" spans="1:18">
      <c r="A26" s="523">
        <v>12</v>
      </c>
      <c r="B26" s="524"/>
      <c r="C26" s="525"/>
      <c r="D26" s="526"/>
      <c r="E26" s="524" t="str">
        <f>IF(AND(C26&lt;&gt;"",D26&lt;&gt;""),IFERROR(INDEX(工事項目DB!D:D,MATCH(C26&amp;"|"&amp;D26,工事項目DB!L:L,0)),""),"")</f>
        <v/>
      </c>
      <c r="F26" s="530" t="str">
        <f>IF(AND(C26&lt;&gt;"",D26&lt;&gt;""),IFERROR(INDEX(工事項目DB!F:F,MATCH(C26&amp;"|"&amp;D26,工事項目DB!L:L,0)),""),"")</f>
        <v/>
      </c>
      <c r="G26" s="533" t="str">
        <f t="shared" si="0"/>
        <v/>
      </c>
      <c r="H26" s="532" t="str">
        <f>IF(AND(C26&lt;&gt;"",D26&lt;&gt;""),IFERROR(INDEX(工事項目DB!E:E,MATCH(C26&amp;"|"&amp;D26,工事項目DB!L:L,0)),""),"")</f>
        <v/>
      </c>
      <c r="I26" s="524"/>
      <c r="J26" s="534" t="str">
        <f t="shared" si="5"/>
        <v/>
      </c>
      <c r="K26" s="535" t="str">
        <f t="shared" si="1"/>
        <v/>
      </c>
      <c r="L26" s="521" t="str">
        <f t="shared" si="2"/>
        <v/>
      </c>
      <c r="M26" s="955" t="str">
        <f t="shared" si="4"/>
        <v/>
      </c>
      <c r="N26" s="536"/>
      <c r="O26" s="499"/>
      <c r="P26" s="499" t="str">
        <f t="shared" si="3"/>
        <v/>
      </c>
      <c r="Q26" s="499"/>
      <c r="R26" s="506"/>
    </row>
    <row r="27" spans="1:18">
      <c r="A27" s="527">
        <v>13</v>
      </c>
      <c r="B27" s="500"/>
      <c r="C27" s="528"/>
      <c r="D27" s="529"/>
      <c r="E27" s="500" t="str">
        <f>IF(AND(C27&lt;&gt;"",D27&lt;&gt;""),IFERROR(INDEX(工事項目DB!D:D,MATCH(C27&amp;"|"&amp;D27,工事項目DB!L:L,0)),""),"")</f>
        <v/>
      </c>
      <c r="F27" s="531" t="str">
        <f>IF(AND(C27&lt;&gt;"",D27&lt;&gt;""),IFERROR(INDEX(工事項目DB!F:F,MATCH(C27&amp;"|"&amp;D27,工事項目DB!L:L,0)),""),"")</f>
        <v/>
      </c>
      <c r="G27" s="533" t="str">
        <f t="shared" si="0"/>
        <v/>
      </c>
      <c r="H27" s="532" t="str">
        <f>IF(AND(C27&lt;&gt;"",D27&lt;&gt;""),IFERROR(INDEX(工事項目DB!E:E,MATCH(C27&amp;"|"&amp;D27,工事項目DB!L:L,0)),""),"")</f>
        <v/>
      </c>
      <c r="I27" s="524"/>
      <c r="J27" s="534" t="str">
        <f t="shared" si="5"/>
        <v/>
      </c>
      <c r="K27" s="535" t="str">
        <f t="shared" si="1"/>
        <v/>
      </c>
      <c r="L27" s="521" t="str">
        <f t="shared" si="2"/>
        <v/>
      </c>
      <c r="M27" s="955" t="str">
        <f t="shared" si="4"/>
        <v/>
      </c>
      <c r="N27" s="536"/>
      <c r="O27" s="499"/>
      <c r="P27" s="499" t="str">
        <f t="shared" si="3"/>
        <v/>
      </c>
      <c r="Q27" s="499"/>
      <c r="R27" s="506"/>
    </row>
    <row r="28" spans="1:18">
      <c r="A28" s="523">
        <v>14</v>
      </c>
      <c r="B28" s="524"/>
      <c r="C28" s="525"/>
      <c r="D28" s="526"/>
      <c r="E28" s="524" t="str">
        <f>IF(AND(C28&lt;&gt;"",D28&lt;&gt;""),IFERROR(INDEX(工事項目DB!D:D,MATCH(C28&amp;"|"&amp;D28,工事項目DB!L:L,0)),""),"")</f>
        <v/>
      </c>
      <c r="F28" s="530" t="str">
        <f>IF(AND(C28&lt;&gt;"",D28&lt;&gt;""),IFERROR(INDEX(工事項目DB!F:F,MATCH(C28&amp;"|"&amp;D28,工事項目DB!L:L,0)),""),"")</f>
        <v/>
      </c>
      <c r="G28" s="533" t="str">
        <f t="shared" si="0"/>
        <v/>
      </c>
      <c r="H28" s="532" t="str">
        <f>IF(AND(C28&lt;&gt;"",D28&lt;&gt;""),IFERROR(INDEX(工事項目DB!E:E,MATCH(C28&amp;"|"&amp;D28,工事項目DB!L:L,0)),""),"")</f>
        <v/>
      </c>
      <c r="I28" s="524"/>
      <c r="J28" s="534" t="str">
        <f t="shared" si="5"/>
        <v/>
      </c>
      <c r="K28" s="535" t="str">
        <f t="shared" si="1"/>
        <v/>
      </c>
      <c r="L28" s="521" t="str">
        <f t="shared" si="2"/>
        <v/>
      </c>
      <c r="M28" s="955" t="str">
        <f t="shared" si="4"/>
        <v/>
      </c>
      <c r="N28" s="536"/>
      <c r="O28" s="499"/>
      <c r="P28" s="499" t="str">
        <f t="shared" si="3"/>
        <v/>
      </c>
      <c r="Q28" s="499"/>
      <c r="R28" s="506"/>
    </row>
    <row r="29" spans="1:18">
      <c r="A29" s="527">
        <v>15</v>
      </c>
      <c r="B29" s="500"/>
      <c r="C29" s="528"/>
      <c r="D29" s="529"/>
      <c r="E29" s="500" t="str">
        <f>IF(AND(C29&lt;&gt;"",D29&lt;&gt;""),IFERROR(INDEX(工事項目DB!D:D,MATCH(C29&amp;"|"&amp;D29,工事項目DB!L:L,0)),""),"")</f>
        <v/>
      </c>
      <c r="F29" s="531" t="str">
        <f>IF(AND(C29&lt;&gt;"",D29&lt;&gt;""),IFERROR(INDEX(工事項目DB!F:F,MATCH(C29&amp;"|"&amp;D29,工事項目DB!L:L,0)),""),"")</f>
        <v/>
      </c>
      <c r="G29" s="533" t="str">
        <f t="shared" si="0"/>
        <v/>
      </c>
      <c r="H29" s="532" t="str">
        <f>IF(AND(C29&lt;&gt;"",D29&lt;&gt;""),IFERROR(INDEX(工事項目DB!E:E,MATCH(C29&amp;"|"&amp;D29,工事項目DB!L:L,0)),""),"")</f>
        <v/>
      </c>
      <c r="I29" s="524"/>
      <c r="J29" s="534" t="str">
        <f t="shared" si="5"/>
        <v/>
      </c>
      <c r="K29" s="535" t="str">
        <f t="shared" si="1"/>
        <v/>
      </c>
      <c r="L29" s="521" t="str">
        <f t="shared" si="2"/>
        <v/>
      </c>
      <c r="M29" s="955" t="str">
        <f t="shared" si="4"/>
        <v/>
      </c>
      <c r="N29" s="536"/>
      <c r="O29" s="499"/>
      <c r="P29" s="499" t="str">
        <f t="shared" si="3"/>
        <v/>
      </c>
      <c r="Q29" s="499"/>
      <c r="R29" s="506"/>
    </row>
    <row r="30" spans="1:18">
      <c r="A30" s="523">
        <v>16</v>
      </c>
      <c r="B30" s="524"/>
      <c r="C30" s="525"/>
      <c r="D30" s="526"/>
      <c r="E30" s="524" t="str">
        <f>IF(AND(C30&lt;&gt;"",D30&lt;&gt;""),IFERROR(INDEX(工事項目DB!D:D,MATCH(C30&amp;"|"&amp;D30,工事項目DB!L:L,0)),""),"")</f>
        <v/>
      </c>
      <c r="F30" s="530" t="str">
        <f>IF(AND(C30&lt;&gt;"",D30&lt;&gt;""),IFERROR(INDEX(工事項目DB!F:F,MATCH(C30&amp;"|"&amp;D30,工事項目DB!L:L,0)),""),"")</f>
        <v/>
      </c>
      <c r="G30" s="533" t="str">
        <f t="shared" si="0"/>
        <v/>
      </c>
      <c r="H30" s="532" t="str">
        <f>IF(AND(C30&lt;&gt;"",D30&lt;&gt;""),IFERROR(INDEX(工事項目DB!E:E,MATCH(C30&amp;"|"&amp;D30,工事項目DB!L:L,0)),""),"")</f>
        <v/>
      </c>
      <c r="I30" s="524"/>
      <c r="J30" s="534" t="str">
        <f t="shared" si="5"/>
        <v/>
      </c>
      <c r="K30" s="535" t="str">
        <f t="shared" si="1"/>
        <v/>
      </c>
      <c r="L30" s="521" t="str">
        <f t="shared" si="2"/>
        <v/>
      </c>
      <c r="M30" s="955" t="str">
        <f t="shared" si="4"/>
        <v/>
      </c>
      <c r="N30" s="536"/>
      <c r="O30" s="499"/>
      <c r="P30" s="499" t="str">
        <f t="shared" si="3"/>
        <v/>
      </c>
      <c r="Q30" s="499"/>
      <c r="R30" s="506"/>
    </row>
    <row r="31" spans="1:18">
      <c r="A31" s="527">
        <v>17</v>
      </c>
      <c r="B31" s="500"/>
      <c r="C31" s="528"/>
      <c r="D31" s="529"/>
      <c r="E31" s="500" t="str">
        <f>IF(AND(C31&lt;&gt;"",D31&lt;&gt;""),IFERROR(INDEX(工事項目DB!D:D,MATCH(C31&amp;"|"&amp;D31,工事項目DB!L:L,0)),""),"")</f>
        <v/>
      </c>
      <c r="F31" s="531" t="str">
        <f>IF(AND(C31&lt;&gt;"",D31&lt;&gt;""),IFERROR(INDEX(工事項目DB!F:F,MATCH(C31&amp;"|"&amp;D31,工事項目DB!L:L,0)),""),"")</f>
        <v/>
      </c>
      <c r="G31" s="533" t="str">
        <f t="shared" si="0"/>
        <v/>
      </c>
      <c r="H31" s="532" t="str">
        <f>IF(AND(C31&lt;&gt;"",D31&lt;&gt;""),IFERROR(INDEX(工事項目DB!E:E,MATCH(C31&amp;"|"&amp;D31,工事項目DB!L:L,0)),""),"")</f>
        <v/>
      </c>
      <c r="I31" s="524"/>
      <c r="J31" s="534" t="str">
        <f t="shared" si="5"/>
        <v/>
      </c>
      <c r="K31" s="535" t="str">
        <f t="shared" si="1"/>
        <v/>
      </c>
      <c r="L31" s="521" t="str">
        <f t="shared" si="2"/>
        <v/>
      </c>
      <c r="M31" s="955" t="str">
        <f t="shared" si="4"/>
        <v/>
      </c>
      <c r="N31" s="536"/>
      <c r="O31" s="499"/>
      <c r="P31" s="499" t="str">
        <f t="shared" si="3"/>
        <v/>
      </c>
      <c r="Q31" s="499"/>
      <c r="R31" s="506"/>
    </row>
    <row r="32" spans="1:18">
      <c r="A32" s="523">
        <v>18</v>
      </c>
      <c r="B32" s="524"/>
      <c r="C32" s="525"/>
      <c r="D32" s="526"/>
      <c r="E32" s="524" t="str">
        <f>IF(AND(C32&lt;&gt;"",D32&lt;&gt;""),IFERROR(INDEX(工事項目DB!D:D,MATCH(C32&amp;"|"&amp;D32,工事項目DB!L:L,0)),""),"")</f>
        <v/>
      </c>
      <c r="F32" s="530" t="str">
        <f>IF(AND(C32&lt;&gt;"",D32&lt;&gt;""),IFERROR(INDEX(工事項目DB!F:F,MATCH(C32&amp;"|"&amp;D32,工事項目DB!L:L,0)),""),"")</f>
        <v/>
      </c>
      <c r="G32" s="533" t="str">
        <f t="shared" si="0"/>
        <v/>
      </c>
      <c r="H32" s="532" t="str">
        <f>IF(AND(C32&lt;&gt;"",D32&lt;&gt;""),IFERROR(INDEX(工事項目DB!E:E,MATCH(C32&amp;"|"&amp;D32,工事項目DB!L:L,0)),""),"")</f>
        <v/>
      </c>
      <c r="I32" s="524"/>
      <c r="J32" s="534" t="str">
        <f t="shared" si="5"/>
        <v/>
      </c>
      <c r="K32" s="535" t="str">
        <f t="shared" si="1"/>
        <v/>
      </c>
      <c r="L32" s="521" t="str">
        <f t="shared" si="2"/>
        <v/>
      </c>
      <c r="M32" s="955" t="str">
        <f t="shared" si="4"/>
        <v/>
      </c>
      <c r="N32" s="536"/>
      <c r="O32" s="499"/>
      <c r="P32" s="499" t="str">
        <f t="shared" si="3"/>
        <v/>
      </c>
      <c r="Q32" s="499"/>
      <c r="R32" s="506"/>
    </row>
    <row r="33" spans="1:18">
      <c r="A33" s="527">
        <v>19</v>
      </c>
      <c r="B33" s="500"/>
      <c r="C33" s="528"/>
      <c r="D33" s="529"/>
      <c r="E33" s="500" t="str">
        <f>IF(AND(C33&lt;&gt;"",D33&lt;&gt;""),IFERROR(INDEX(工事項目DB!D:D,MATCH(C33&amp;"|"&amp;D33,工事項目DB!L:L,0)),""),"")</f>
        <v/>
      </c>
      <c r="F33" s="531" t="str">
        <f>IF(AND(C33&lt;&gt;"",D33&lt;&gt;""),IFERROR(INDEX(工事項目DB!F:F,MATCH(C33&amp;"|"&amp;D33,工事項目DB!L:L,0)),""),"")</f>
        <v/>
      </c>
      <c r="G33" s="533" t="str">
        <f t="shared" si="0"/>
        <v/>
      </c>
      <c r="H33" s="532" t="str">
        <f>IF(AND(C33&lt;&gt;"",D33&lt;&gt;""),IFERROR(INDEX(工事項目DB!E:E,MATCH(C33&amp;"|"&amp;D33,工事項目DB!L:L,0)),""),"")</f>
        <v/>
      </c>
      <c r="I33" s="524"/>
      <c r="J33" s="534" t="str">
        <f t="shared" si="5"/>
        <v/>
      </c>
      <c r="K33" s="535" t="str">
        <f t="shared" si="1"/>
        <v/>
      </c>
      <c r="L33" s="521" t="str">
        <f t="shared" si="2"/>
        <v/>
      </c>
      <c r="M33" s="955" t="str">
        <f t="shared" si="4"/>
        <v/>
      </c>
      <c r="N33" s="536"/>
      <c r="O33" s="499"/>
      <c r="P33" s="499" t="str">
        <f t="shared" si="3"/>
        <v/>
      </c>
      <c r="Q33" s="499"/>
      <c r="R33" s="506"/>
    </row>
    <row r="34" spans="1:18">
      <c r="A34" s="523">
        <v>20</v>
      </c>
      <c r="B34" s="524"/>
      <c r="C34" s="525"/>
      <c r="D34" s="526"/>
      <c r="E34" s="524" t="str">
        <f>IF(AND(C34&lt;&gt;"",D34&lt;&gt;""),IFERROR(INDEX(工事項目DB!D:D,MATCH(C34&amp;"|"&amp;D34,工事項目DB!L:L,0)),""),"")</f>
        <v/>
      </c>
      <c r="F34" s="530" t="str">
        <f>IF(AND(C34&lt;&gt;"",D34&lt;&gt;""),IFERROR(INDEX(工事項目DB!F:F,MATCH(C34&amp;"|"&amp;D34,工事項目DB!L:L,0)),""),"")</f>
        <v/>
      </c>
      <c r="G34" s="533" t="str">
        <f t="shared" si="0"/>
        <v/>
      </c>
      <c r="H34" s="532" t="str">
        <f>IF(AND(C34&lt;&gt;"",D34&lt;&gt;""),IFERROR(INDEX(工事項目DB!E:E,MATCH(C34&amp;"|"&amp;D34,工事項目DB!L:L,0)),""),"")</f>
        <v/>
      </c>
      <c r="I34" s="524"/>
      <c r="J34" s="534" t="str">
        <f t="shared" si="5"/>
        <v/>
      </c>
      <c r="K34" s="535" t="str">
        <f t="shared" si="1"/>
        <v/>
      </c>
      <c r="L34" s="521" t="str">
        <f t="shared" si="2"/>
        <v/>
      </c>
      <c r="M34" s="955" t="str">
        <f t="shared" si="4"/>
        <v/>
      </c>
      <c r="N34" s="536"/>
      <c r="O34" s="499"/>
      <c r="P34" s="499" t="str">
        <f t="shared" si="3"/>
        <v/>
      </c>
      <c r="Q34" s="499"/>
      <c r="R34" s="506"/>
    </row>
    <row r="35" spans="1:18">
      <c r="A35" s="527">
        <v>21</v>
      </c>
      <c r="B35" s="500"/>
      <c r="C35" s="528"/>
      <c r="D35" s="529"/>
      <c r="E35" s="500" t="str">
        <f>IF(AND(C35&lt;&gt;"",D35&lt;&gt;""),IFERROR(INDEX(工事項目DB!D:D,MATCH(C35&amp;"|"&amp;D35,工事項目DB!L:L,0)),""),"")</f>
        <v/>
      </c>
      <c r="F35" s="531" t="str">
        <f>IF(AND(C35&lt;&gt;"",D35&lt;&gt;""),IFERROR(INDEX(工事項目DB!F:F,MATCH(C35&amp;"|"&amp;D35,工事項目DB!L:L,0)),""),"")</f>
        <v/>
      </c>
      <c r="G35" s="533" t="str">
        <f t="shared" si="0"/>
        <v/>
      </c>
      <c r="H35" s="532" t="str">
        <f>IF(AND(C35&lt;&gt;"",D35&lt;&gt;""),IFERROR(INDEX(工事項目DB!E:E,MATCH(C35&amp;"|"&amp;D35,工事項目DB!L:L,0)),""),"")</f>
        <v/>
      </c>
      <c r="I35" s="524"/>
      <c r="J35" s="534" t="str">
        <f t="shared" si="5"/>
        <v/>
      </c>
      <c r="K35" s="535" t="str">
        <f t="shared" si="1"/>
        <v/>
      </c>
      <c r="L35" s="521" t="str">
        <f t="shared" si="2"/>
        <v/>
      </c>
      <c r="M35" s="955" t="str">
        <f t="shared" si="4"/>
        <v/>
      </c>
      <c r="N35" s="536"/>
      <c r="O35" s="499"/>
      <c r="P35" s="499" t="str">
        <f t="shared" si="3"/>
        <v/>
      </c>
      <c r="Q35" s="499"/>
      <c r="R35" s="506"/>
    </row>
    <row r="36" spans="1:18">
      <c r="A36" s="523">
        <v>22</v>
      </c>
      <c r="B36" s="524"/>
      <c r="C36" s="525"/>
      <c r="D36" s="526"/>
      <c r="E36" s="524" t="str">
        <f>IF(AND(C36&lt;&gt;"",D36&lt;&gt;""),IFERROR(INDEX(工事項目DB!D:D,MATCH(C36&amp;"|"&amp;D36,工事項目DB!L:L,0)),""),"")</f>
        <v/>
      </c>
      <c r="F36" s="530" t="str">
        <f>IF(AND(C36&lt;&gt;"",D36&lt;&gt;""),IFERROR(INDEX(工事項目DB!F:F,MATCH(C36&amp;"|"&amp;D36,工事項目DB!L:L,0)),""),"")</f>
        <v/>
      </c>
      <c r="G36" s="533" t="str">
        <f t="shared" si="0"/>
        <v/>
      </c>
      <c r="H36" s="532" t="str">
        <f>IF(AND(C36&lt;&gt;"",D36&lt;&gt;""),IFERROR(INDEX(工事項目DB!E:E,MATCH(C36&amp;"|"&amp;D36,工事項目DB!L:L,0)),""),"")</f>
        <v/>
      </c>
      <c r="I36" s="524"/>
      <c r="J36" s="534" t="str">
        <f t="shared" si="5"/>
        <v/>
      </c>
      <c r="K36" s="535" t="str">
        <f t="shared" si="1"/>
        <v/>
      </c>
      <c r="L36" s="521" t="str">
        <f t="shared" si="2"/>
        <v/>
      </c>
      <c r="M36" s="955" t="str">
        <f t="shared" si="4"/>
        <v/>
      </c>
      <c r="N36" s="536"/>
      <c r="O36" s="499"/>
      <c r="P36" s="499" t="str">
        <f t="shared" si="3"/>
        <v/>
      </c>
      <c r="Q36" s="499"/>
      <c r="R36" s="506"/>
    </row>
    <row r="37" spans="1:18">
      <c r="A37" s="527">
        <v>23</v>
      </c>
      <c r="B37" s="500"/>
      <c r="C37" s="528"/>
      <c r="D37" s="529"/>
      <c r="E37" s="500" t="str">
        <f>IF(AND(C37&lt;&gt;"",D37&lt;&gt;""),IFERROR(INDEX(工事項目DB!D:D,MATCH(C37&amp;"|"&amp;D37,工事項目DB!L:L,0)),""),"")</f>
        <v/>
      </c>
      <c r="F37" s="531" t="str">
        <f>IF(AND(C37&lt;&gt;"",D37&lt;&gt;""),IFERROR(INDEX(工事項目DB!F:F,MATCH(C37&amp;"|"&amp;D37,工事項目DB!L:L,0)),""),"")</f>
        <v/>
      </c>
      <c r="G37" s="533" t="str">
        <f t="shared" si="0"/>
        <v/>
      </c>
      <c r="H37" s="532" t="str">
        <f>IF(AND(C37&lt;&gt;"",D37&lt;&gt;""),IFERROR(INDEX(工事項目DB!E:E,MATCH(C37&amp;"|"&amp;D37,工事項目DB!L:L,0)),""),"")</f>
        <v/>
      </c>
      <c r="I37" s="524"/>
      <c r="J37" s="534" t="str">
        <f t="shared" si="5"/>
        <v/>
      </c>
      <c r="K37" s="535" t="str">
        <f t="shared" si="1"/>
        <v/>
      </c>
      <c r="L37" s="521" t="str">
        <f t="shared" si="2"/>
        <v/>
      </c>
      <c r="M37" s="955" t="str">
        <f t="shared" si="4"/>
        <v/>
      </c>
      <c r="N37" s="536"/>
      <c r="O37" s="499"/>
      <c r="P37" s="499" t="str">
        <f t="shared" si="3"/>
        <v/>
      </c>
      <c r="Q37" s="499"/>
      <c r="R37" s="506"/>
    </row>
    <row r="38" spans="1:18">
      <c r="A38" s="523">
        <v>24</v>
      </c>
      <c r="B38" s="524"/>
      <c r="C38" s="525"/>
      <c r="D38" s="526"/>
      <c r="E38" s="524" t="str">
        <f>IF(AND(C38&lt;&gt;"",D38&lt;&gt;""),IFERROR(INDEX(工事項目DB!D:D,MATCH(C38&amp;"|"&amp;D38,工事項目DB!L:L,0)),""),"")</f>
        <v/>
      </c>
      <c r="F38" s="530" t="str">
        <f>IF(AND(C38&lt;&gt;"",D38&lt;&gt;""),IFERROR(INDEX(工事項目DB!F:F,MATCH(C38&amp;"|"&amp;D38,工事項目DB!L:L,0)),""),"")</f>
        <v/>
      </c>
      <c r="G38" s="533" t="str">
        <f t="shared" si="0"/>
        <v/>
      </c>
      <c r="H38" s="532" t="str">
        <f>IF(AND(C38&lt;&gt;"",D38&lt;&gt;""),IFERROR(INDEX(工事項目DB!E:E,MATCH(C38&amp;"|"&amp;D38,工事項目DB!L:L,0)),""),"")</f>
        <v/>
      </c>
      <c r="I38" s="524"/>
      <c r="J38" s="534" t="str">
        <f t="shared" si="5"/>
        <v/>
      </c>
      <c r="K38" s="535" t="str">
        <f t="shared" si="1"/>
        <v/>
      </c>
      <c r="L38" s="521" t="str">
        <f t="shared" si="2"/>
        <v/>
      </c>
      <c r="M38" s="955" t="str">
        <f t="shared" si="4"/>
        <v/>
      </c>
      <c r="N38" s="536"/>
      <c r="O38" s="499"/>
      <c r="P38" s="499" t="str">
        <f t="shared" si="3"/>
        <v/>
      </c>
      <c r="Q38" s="499"/>
      <c r="R38" s="506"/>
    </row>
    <row r="39" spans="1:18">
      <c r="A39" s="527">
        <v>25</v>
      </c>
      <c r="B39" s="500"/>
      <c r="C39" s="528"/>
      <c r="D39" s="529"/>
      <c r="E39" s="500" t="str">
        <f>IF(AND(C39&lt;&gt;"",D39&lt;&gt;""),IFERROR(INDEX(工事項目DB!D:D,MATCH(C39&amp;"|"&amp;D39,工事項目DB!L:L,0)),""),"")</f>
        <v/>
      </c>
      <c r="F39" s="531" t="str">
        <f>IF(AND(C39&lt;&gt;"",D39&lt;&gt;""),IFERROR(INDEX(工事項目DB!F:F,MATCH(C39&amp;"|"&amp;D39,工事項目DB!L:L,0)),""),"")</f>
        <v/>
      </c>
      <c r="G39" s="533" t="str">
        <f t="shared" si="0"/>
        <v/>
      </c>
      <c r="H39" s="532" t="str">
        <f>IF(AND(C39&lt;&gt;"",D39&lt;&gt;""),IFERROR(INDEX(工事項目DB!E:E,MATCH(C39&amp;"|"&amp;D39,工事項目DB!L:L,0)),""),"")</f>
        <v/>
      </c>
      <c r="I39" s="524"/>
      <c r="J39" s="534" t="str">
        <f t="shared" si="5"/>
        <v/>
      </c>
      <c r="K39" s="535" t="str">
        <f t="shared" si="1"/>
        <v/>
      </c>
      <c r="L39" s="521" t="str">
        <f t="shared" si="2"/>
        <v/>
      </c>
      <c r="M39" s="955" t="str">
        <f t="shared" si="4"/>
        <v/>
      </c>
      <c r="N39" s="536"/>
      <c r="O39" s="499"/>
      <c r="P39" s="499" t="str">
        <f t="shared" si="3"/>
        <v/>
      </c>
      <c r="Q39" s="499"/>
      <c r="R39" s="506"/>
    </row>
    <row r="40" spans="1:18">
      <c r="A40" s="523">
        <v>26</v>
      </c>
      <c r="B40" s="524"/>
      <c r="C40" s="525"/>
      <c r="D40" s="526"/>
      <c r="E40" s="524" t="str">
        <f>IF(AND(C40&lt;&gt;"",D40&lt;&gt;""),IFERROR(INDEX(工事項目DB!D:D,MATCH(C40&amp;"|"&amp;D40,工事項目DB!L:L,0)),""),"")</f>
        <v/>
      </c>
      <c r="F40" s="530" t="str">
        <f>IF(AND(C40&lt;&gt;"",D40&lt;&gt;""),IFERROR(INDEX(工事項目DB!F:F,MATCH(C40&amp;"|"&amp;D40,工事項目DB!L:L,0)),""),"")</f>
        <v/>
      </c>
      <c r="G40" s="533" t="str">
        <f t="shared" si="0"/>
        <v/>
      </c>
      <c r="H40" s="532" t="str">
        <f>IF(AND(C40&lt;&gt;"",D40&lt;&gt;""),IFERROR(INDEX(工事項目DB!E:E,MATCH(C40&amp;"|"&amp;D40,工事項目DB!L:L,0)),""),"")</f>
        <v/>
      </c>
      <c r="I40" s="524"/>
      <c r="J40" s="534" t="str">
        <f t="shared" si="5"/>
        <v/>
      </c>
      <c r="K40" s="535" t="str">
        <f t="shared" si="1"/>
        <v/>
      </c>
      <c r="L40" s="521" t="str">
        <f t="shared" si="2"/>
        <v/>
      </c>
      <c r="M40" s="955" t="str">
        <f t="shared" si="4"/>
        <v/>
      </c>
      <c r="N40" s="536"/>
      <c r="O40" s="499"/>
      <c r="P40" s="499" t="str">
        <f t="shared" si="3"/>
        <v/>
      </c>
      <c r="Q40" s="499"/>
      <c r="R40" s="506"/>
    </row>
    <row r="41" spans="1:18">
      <c r="A41" s="527">
        <v>27</v>
      </c>
      <c r="B41" s="500"/>
      <c r="C41" s="528"/>
      <c r="D41" s="529"/>
      <c r="E41" s="500" t="str">
        <f>IF(AND(C41&lt;&gt;"",D41&lt;&gt;""),IFERROR(INDEX(工事項目DB!D:D,MATCH(C41&amp;"|"&amp;D41,工事項目DB!L:L,0)),""),"")</f>
        <v/>
      </c>
      <c r="F41" s="531" t="str">
        <f>IF(AND(C41&lt;&gt;"",D41&lt;&gt;""),IFERROR(INDEX(工事項目DB!F:F,MATCH(C41&amp;"|"&amp;D41,工事項目DB!L:L,0)),""),"")</f>
        <v/>
      </c>
      <c r="G41" s="533" t="str">
        <f t="shared" si="0"/>
        <v/>
      </c>
      <c r="H41" s="532" t="str">
        <f>IF(AND(C41&lt;&gt;"",D41&lt;&gt;""),IFERROR(INDEX(工事項目DB!E:E,MATCH(C41&amp;"|"&amp;D41,工事項目DB!L:L,0)),""),"")</f>
        <v/>
      </c>
      <c r="I41" s="524"/>
      <c r="J41" s="534" t="str">
        <f t="shared" si="5"/>
        <v/>
      </c>
      <c r="K41" s="535" t="str">
        <f t="shared" si="1"/>
        <v/>
      </c>
      <c r="L41" s="521" t="str">
        <f t="shared" si="2"/>
        <v/>
      </c>
      <c r="M41" s="955" t="str">
        <f t="shared" si="4"/>
        <v/>
      </c>
      <c r="N41" s="536"/>
      <c r="O41" s="499"/>
      <c r="P41" s="499" t="str">
        <f t="shared" si="3"/>
        <v/>
      </c>
      <c r="Q41" s="499"/>
      <c r="R41" s="506"/>
    </row>
    <row r="42" spans="1:18">
      <c r="A42" s="523">
        <v>28</v>
      </c>
      <c r="B42" s="524"/>
      <c r="C42" s="525"/>
      <c r="D42" s="526"/>
      <c r="E42" s="524" t="str">
        <f>IF(AND(C42&lt;&gt;"",D42&lt;&gt;""),IFERROR(INDEX(工事項目DB!D:D,MATCH(C42&amp;"|"&amp;D42,工事項目DB!L:L,0)),""),"")</f>
        <v/>
      </c>
      <c r="F42" s="530" t="str">
        <f>IF(AND(C42&lt;&gt;"",D42&lt;&gt;""),IFERROR(INDEX(工事項目DB!F:F,MATCH(C42&amp;"|"&amp;D42,工事項目DB!L:L,0)),""),"")</f>
        <v/>
      </c>
      <c r="G42" s="533" t="str">
        <f t="shared" si="0"/>
        <v/>
      </c>
      <c r="H42" s="532" t="str">
        <f>IF(AND(C42&lt;&gt;"",D42&lt;&gt;""),IFERROR(INDEX(工事項目DB!E:E,MATCH(C42&amp;"|"&amp;D42,工事項目DB!L:L,0)),""),"")</f>
        <v/>
      </c>
      <c r="I42" s="524"/>
      <c r="J42" s="534" t="str">
        <f t="shared" si="5"/>
        <v/>
      </c>
      <c r="K42" s="535" t="str">
        <f t="shared" si="1"/>
        <v/>
      </c>
      <c r="L42" s="521" t="str">
        <f t="shared" si="2"/>
        <v/>
      </c>
      <c r="M42" s="955" t="str">
        <f t="shared" si="4"/>
        <v/>
      </c>
      <c r="N42" s="536"/>
      <c r="O42" s="499"/>
      <c r="P42" s="499" t="str">
        <f t="shared" si="3"/>
        <v/>
      </c>
      <c r="Q42" s="499"/>
      <c r="R42" s="506"/>
    </row>
    <row r="43" spans="1:18">
      <c r="A43" s="527">
        <v>29</v>
      </c>
      <c r="B43" s="500"/>
      <c r="C43" s="528"/>
      <c r="D43" s="529"/>
      <c r="E43" s="500" t="str">
        <f>IF(AND(C43&lt;&gt;"",D43&lt;&gt;""),IFERROR(INDEX(工事項目DB!D:D,MATCH(C43&amp;"|"&amp;D43,工事項目DB!L:L,0)),""),"")</f>
        <v/>
      </c>
      <c r="F43" s="531" t="str">
        <f>IF(AND(C43&lt;&gt;"",D43&lt;&gt;""),IFERROR(INDEX(工事項目DB!F:F,MATCH(C43&amp;"|"&amp;D43,工事項目DB!L:L,0)),""),"")</f>
        <v/>
      </c>
      <c r="G43" s="533" t="str">
        <f t="shared" si="0"/>
        <v/>
      </c>
      <c r="H43" s="532" t="str">
        <f>IF(AND(C43&lt;&gt;"",D43&lt;&gt;""),IFERROR(INDEX(工事項目DB!E:E,MATCH(C43&amp;"|"&amp;D43,工事項目DB!L:L,0)),""),"")</f>
        <v/>
      </c>
      <c r="I43" s="524"/>
      <c r="J43" s="534" t="str">
        <f t="shared" si="5"/>
        <v/>
      </c>
      <c r="K43" s="535" t="str">
        <f t="shared" si="1"/>
        <v/>
      </c>
      <c r="L43" s="521" t="str">
        <f t="shared" si="2"/>
        <v/>
      </c>
      <c r="M43" s="955" t="str">
        <f t="shared" si="4"/>
        <v/>
      </c>
      <c r="N43" s="536"/>
      <c r="O43" s="499"/>
      <c r="P43" s="499" t="str">
        <f t="shared" si="3"/>
        <v/>
      </c>
      <c r="Q43" s="499"/>
      <c r="R43" s="506"/>
    </row>
    <row r="44" spans="1:18" ht="15" thickBot="1">
      <c r="A44" s="564">
        <v>30</v>
      </c>
      <c r="B44" s="565"/>
      <c r="C44" s="566"/>
      <c r="D44" s="567"/>
      <c r="E44" s="565" t="str">
        <f>IF(AND(C44&lt;&gt;"",D44&lt;&gt;""),IFERROR(INDEX(工事項目DB!D:D,MATCH(C44&amp;"|"&amp;D44,工事項目DB!L:L,0)),""),"")</f>
        <v/>
      </c>
      <c r="F44" s="568" t="str">
        <f>IF(AND(C44&lt;&gt;"",D44&lt;&gt;""),IFERROR(INDEX(工事項目DB!F:F,MATCH(C44&amp;"|"&amp;D44,工事項目DB!L:L,0)),""),"")</f>
        <v/>
      </c>
      <c r="G44" s="569" t="str">
        <f t="shared" si="0"/>
        <v/>
      </c>
      <c r="H44" s="570" t="str">
        <f>IF(AND(C44&lt;&gt;"",D44&lt;&gt;""),IFERROR(INDEX(工事項目DB!E:E,MATCH(C44&amp;"|"&amp;D44,工事項目DB!L:L,0)),""),"")</f>
        <v/>
      </c>
      <c r="I44" s="565"/>
      <c r="J44" s="571" t="str">
        <f t="shared" si="5"/>
        <v/>
      </c>
      <c r="K44" s="572" t="str">
        <f t="shared" si="1"/>
        <v/>
      </c>
      <c r="L44" s="573" t="str">
        <f t="shared" si="2"/>
        <v/>
      </c>
      <c r="M44" s="955" t="str">
        <f t="shared" si="4"/>
        <v/>
      </c>
      <c r="N44" s="574"/>
      <c r="O44" s="575"/>
      <c r="P44" s="575" t="str">
        <f t="shared" si="3"/>
        <v/>
      </c>
      <c r="Q44" s="575"/>
      <c r="R44" s="576"/>
    </row>
    <row r="45" spans="1:18">
      <c r="A45" s="577"/>
      <c r="B45" s="577"/>
      <c r="C45" s="577"/>
      <c r="D45" s="577"/>
      <c r="E45" s="577"/>
      <c r="F45" s="578" t="s">
        <v>695</v>
      </c>
      <c r="G45" s="579">
        <f>SUM(G15:G44)</f>
        <v>0</v>
      </c>
      <c r="H45" s="580"/>
      <c r="I45" s="580"/>
      <c r="J45" s="581" t="s">
        <v>696</v>
      </c>
      <c r="K45" s="582">
        <f>SUM(K15:K44)</f>
        <v>0</v>
      </c>
      <c r="L45" s="583">
        <f>K45-G45</f>
        <v>0</v>
      </c>
      <c r="M45" s="584" t="str">
        <f>IF(K45&lt;&gt;0,L45/K45,"")</f>
        <v/>
      </c>
      <c r="N45" s="585"/>
      <c r="O45" s="585"/>
      <c r="P45" s="586">
        <f>SUM(P15:P44)</f>
        <v>0</v>
      </c>
      <c r="Q45" s="585"/>
      <c r="R45" s="585"/>
    </row>
    <row r="46" spans="1:18">
      <c r="A46" s="396"/>
    </row>
    <row r="47" spans="1:18">
      <c r="A47" s="445" t="s">
        <v>697</v>
      </c>
    </row>
    <row r="48" spans="1:18">
      <c r="A48" s="594" t="s">
        <v>698</v>
      </c>
      <c r="B48" s="595"/>
      <c r="C48" s="595"/>
      <c r="D48" s="595"/>
      <c r="E48" s="595"/>
      <c r="F48" s="595"/>
      <c r="G48" s="596">
        <f>G45</f>
        <v>0</v>
      </c>
      <c r="H48" s="597"/>
      <c r="I48" s="597"/>
      <c r="J48" s="597"/>
      <c r="K48" s="598">
        <f>K45</f>
        <v>0</v>
      </c>
      <c r="L48" s="485">
        <f>L45</f>
        <v>0</v>
      </c>
      <c r="M48" s="486" t="str">
        <f>M45</f>
        <v/>
      </c>
    </row>
    <row r="49" spans="1:13">
      <c r="A49" s="599" t="s">
        <v>699</v>
      </c>
      <c r="B49" s="600"/>
      <c r="C49" s="600"/>
      <c r="D49" s="600"/>
      <c r="E49" s="600"/>
      <c r="F49" s="600"/>
      <c r="G49" s="601">
        <f>ROUND(G48*マスター設定!K24,0)</f>
        <v>0</v>
      </c>
      <c r="H49" s="602"/>
      <c r="I49" s="602"/>
      <c r="J49" s="602"/>
      <c r="K49" s="520">
        <f>ROUND(K48*マスター設定!K24,0)</f>
        <v>0</v>
      </c>
    </row>
    <row r="50" spans="1:13" ht="16" thickBot="1">
      <c r="A50" s="603" t="s">
        <v>700</v>
      </c>
      <c r="B50" s="604"/>
      <c r="C50" s="604"/>
      <c r="D50" s="604"/>
      <c r="E50" s="604"/>
      <c r="F50" s="604"/>
      <c r="G50" s="605">
        <f>G48+G49</f>
        <v>0</v>
      </c>
      <c r="H50" s="606"/>
      <c r="I50" s="606"/>
      <c r="J50" s="606"/>
      <c r="K50" s="607">
        <f>K48+K49</f>
        <v>0</v>
      </c>
      <c r="L50" s="487">
        <f>K50-G50</f>
        <v>0</v>
      </c>
      <c r="M50" s="488" t="str">
        <f>IF(K50&lt;&gt;0,L50/K50,"")</f>
        <v/>
      </c>
    </row>
    <row r="53" spans="1:13" ht="15">
      <c r="A53" s="341" t="s">
        <v>745</v>
      </c>
    </row>
    <row r="54" spans="1:13" ht="17">
      <c r="A54" s="516" t="s">
        <v>746</v>
      </c>
      <c r="B54" s="517"/>
      <c r="C54" s="315" t="s">
        <v>747</v>
      </c>
    </row>
    <row r="55" spans="1:13" ht="17">
      <c r="A55" s="482" t="s">
        <v>748</v>
      </c>
      <c r="B55" s="518"/>
      <c r="C55" s="519" t="s">
        <v>749</v>
      </c>
      <c r="D55" s="518"/>
      <c r="E55" s="315" t="s">
        <v>750</v>
      </c>
    </row>
    <row r="56" spans="1:13">
      <c r="A56" s="377" t="s">
        <v>751</v>
      </c>
    </row>
    <row r="60" spans="1:13" ht="15">
      <c r="A60" s="641" t="s">
        <v>898</v>
      </c>
    </row>
    <row r="61" spans="1:13">
      <c r="A61" s="377" t="s">
        <v>899</v>
      </c>
    </row>
    <row r="62" spans="1:13">
      <c r="A62" s="643" t="s">
        <v>901</v>
      </c>
    </row>
    <row r="63" spans="1:13" ht="15" thickBot="1">
      <c r="A63" s="642" t="s">
        <v>443</v>
      </c>
      <c r="B63" s="642" t="s">
        <v>895</v>
      </c>
      <c r="C63" s="642" t="s">
        <v>896</v>
      </c>
      <c r="D63" s="642" t="s">
        <v>444</v>
      </c>
      <c r="E63" s="642" t="s">
        <v>354</v>
      </c>
      <c r="F63" s="642" t="s">
        <v>355</v>
      </c>
      <c r="G63" s="642" t="s">
        <v>356</v>
      </c>
      <c r="H63" s="642" t="s">
        <v>690</v>
      </c>
      <c r="I63" s="642" t="s">
        <v>357</v>
      </c>
      <c r="J63" s="642" t="s">
        <v>338</v>
      </c>
      <c r="K63" s="817"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6" t="s">
        <v>999</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774</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703</v>
      </c>
      <c r="B1" s="491" t="s">
        <v>704</v>
      </c>
      <c r="C1" s="871" t="s">
        <v>996</v>
      </c>
      <c r="D1" s="959" t="s">
        <v>601</v>
      </c>
      <c r="E1" s="961" t="s">
        <v>1350</v>
      </c>
      <c r="G1" s="962">
        <v>1</v>
      </c>
    </row>
    <row r="3" spans="1:9" ht="35" customHeight="1">
      <c r="A3" s="659" t="str">
        <f>IF(B1="発注書","【   発  注  書   】","【   請  求  書   】")</f>
        <v>【   発  注  書   】</v>
      </c>
      <c r="B3" s="660"/>
      <c r="C3" s="660"/>
      <c r="D3" s="660"/>
      <c r="E3" s="660"/>
      <c r="F3" s="660"/>
      <c r="G3" s="660"/>
      <c r="H3" s="660"/>
      <c r="I3" s="660"/>
    </row>
    <row r="5" spans="1:9" ht="17" customHeight="1">
      <c r="A5" s="377" t="s">
        <v>705</v>
      </c>
      <c r="B5" s="661" t="str">
        <f>IFERROR(VLOOKUP(G1,業者DB!A:B,2,FALSE),"")</f>
        <v>有限会社 山田建設</v>
      </c>
      <c r="C5" s="661"/>
      <c r="D5" s="661"/>
      <c r="E5" s="661"/>
      <c r="F5" s="490" t="s">
        <v>566</v>
      </c>
      <c r="G5" s="663" t="s">
        <v>706</v>
      </c>
      <c r="H5" s="663"/>
      <c r="I5" s="663"/>
    </row>
    <row r="6" spans="1:9">
      <c r="B6" s="662" t="str">
        <f>IFERROR(VLOOKUP(B5,業者DB!B:F,3,FALSE)&amp;" "&amp;VLOOKUP(B5,業者DB!B:F,4,FALSE),"")</f>
        <v>134-0083 東京都江戸川区中葛西3-15-7</v>
      </c>
      <c r="C6" s="662"/>
      <c r="D6" s="662"/>
      <c r="E6" s="662"/>
      <c r="G6" s="658" t="s">
        <v>707</v>
      </c>
      <c r="H6" s="658"/>
      <c r="I6" s="658"/>
    </row>
    <row r="7" spans="1:9">
      <c r="G7" s="658" t="s">
        <v>708</v>
      </c>
      <c r="H7" s="658"/>
      <c r="I7" s="658"/>
    </row>
    <row r="8" spans="1:9">
      <c r="G8" s="658" t="s">
        <v>709</v>
      </c>
      <c r="H8" s="658"/>
      <c r="I8" s="658"/>
    </row>
    <row r="9" spans="1:9" ht="15" thickBot="1"/>
    <row r="10" spans="1:9">
      <c r="A10" s="611" t="s">
        <v>710</v>
      </c>
      <c r="B10" s="666" t="str">
        <f>IFERROR(VLOOKUP(D1,案件管理!A:E,5,FALSE),"")</f>
        <v>キッチン設備・内装</v>
      </c>
      <c r="C10" s="667"/>
      <c r="D10" s="667"/>
      <c r="E10" s="668"/>
      <c r="G10" s="481" t="str">
        <f>IF(B1="発注書","発 注 日","請 求 日")</f>
        <v>発 注 日</v>
      </c>
      <c r="H10" s="960">
        <f ca="1">TODAY()</f>
        <v>46064</v>
      </c>
      <c r="I10" s="660"/>
    </row>
    <row r="11" spans="1:9">
      <c r="A11" s="612" t="s">
        <v>711</v>
      </c>
      <c r="B11" s="669" t="str">
        <f>IFERROR(VLOOKUP(D1,案件管理!A:D,4,FALSE),"")</f>
        <v>吉野様邸 キッチンリフォーム</v>
      </c>
      <c r="C11" s="670"/>
      <c r="D11" s="670"/>
      <c r="E11" s="671"/>
      <c r="G11" s="481" t="str">
        <f>IF(B1="請求書","支 払 期 日","")</f>
        <v/>
      </c>
      <c r="H11" s="675"/>
      <c r="I11" s="660"/>
    </row>
    <row r="12" spans="1:9">
      <c r="A12" s="612" t="s">
        <v>712</v>
      </c>
      <c r="B12" s="669"/>
      <c r="C12" s="670"/>
      <c r="D12" s="670"/>
      <c r="E12" s="671"/>
      <c r="H12" s="622"/>
      <c r="I12" s="624"/>
    </row>
    <row r="13" spans="1:9" ht="15" thickBot="1">
      <c r="A13" s="613" t="s">
        <v>713</v>
      </c>
      <c r="B13" s="672" t="str">
        <f>IFERROR(VLOOKUP(G1,業者DB!A:I,9,FALSE),"")</f>
        <v>毎月末日締切・翌月21日払い</v>
      </c>
      <c r="C13" s="673"/>
      <c r="D13" s="673"/>
      <c r="E13" s="674"/>
      <c r="H13" s="623" t="s">
        <v>722</v>
      </c>
      <c r="I13" s="625"/>
    </row>
    <row r="14" spans="1:9" ht="28" customHeight="1" thickBot="1">
      <c r="A14" s="610" t="s">
        <v>714</v>
      </c>
      <c r="B14" s="676" t="s">
        <v>715</v>
      </c>
      <c r="C14" s="677"/>
      <c r="D14" s="678">
        <f>I42</f>
        <v>0</v>
      </c>
      <c r="E14" s="677"/>
      <c r="F14" s="608" t="s">
        <v>716</v>
      </c>
      <c r="G14" s="609"/>
      <c r="H14" s="621"/>
      <c r="I14" s="621"/>
    </row>
    <row r="16" spans="1:9">
      <c r="A16" s="679" t="str">
        <f>IF(B1="発注書","下記の通り発注いたします。","下記の通りご請求申し上げます。")</f>
        <v>下記の通り発注いたします。</v>
      </c>
      <c r="B16" s="660"/>
      <c r="C16" s="660"/>
      <c r="D16" s="660"/>
      <c r="E16" s="660"/>
      <c r="F16" s="660"/>
      <c r="G16" s="660"/>
      <c r="H16" s="660"/>
      <c r="I16" s="660"/>
    </row>
    <row r="17" spans="1:9" ht="15" thickBot="1"/>
    <row r="18" spans="1:9">
      <c r="A18" s="494" t="s">
        <v>321</v>
      </c>
      <c r="B18" s="680" t="s">
        <v>717</v>
      </c>
      <c r="C18" s="681"/>
      <c r="D18" s="680" t="s">
        <v>352</v>
      </c>
      <c r="E18" s="681"/>
      <c r="F18" s="495" t="s">
        <v>686</v>
      </c>
      <c r="G18" s="495" t="s">
        <v>444</v>
      </c>
      <c r="H18" s="495" t="s">
        <v>718</v>
      </c>
      <c r="I18" s="496" t="s">
        <v>719</v>
      </c>
    </row>
    <row r="19" spans="1:9">
      <c r="A19" s="497">
        <v>1</v>
      </c>
      <c r="B19" s="664"/>
      <c r="C19" s="665"/>
      <c r="D19" s="664"/>
      <c r="E19" s="665"/>
      <c r="F19" s="500"/>
      <c r="G19" s="500"/>
      <c r="H19" s="498"/>
      <c r="I19" s="501" t="str">
        <f t="shared" ref="I19:I38" si="0">IF(AND(F19&lt;&gt;"",H19&lt;&gt;""),F19*H19,"")</f>
        <v/>
      </c>
    </row>
    <row r="20" spans="1:9">
      <c r="A20" s="502">
        <v>2</v>
      </c>
      <c r="B20" s="682"/>
      <c r="C20" s="665"/>
      <c r="D20" s="682"/>
      <c r="E20" s="665"/>
      <c r="F20" s="504"/>
      <c r="G20" s="504"/>
      <c r="H20" s="503"/>
      <c r="I20" s="505" t="str">
        <f t="shared" si="0"/>
        <v/>
      </c>
    </row>
    <row r="21" spans="1:9">
      <c r="A21" s="497">
        <v>3</v>
      </c>
      <c r="B21" s="664"/>
      <c r="C21" s="665"/>
      <c r="D21" s="664"/>
      <c r="E21" s="665"/>
      <c r="F21" s="500"/>
      <c r="G21" s="500"/>
      <c r="H21" s="498"/>
      <c r="I21" s="501" t="str">
        <f t="shared" si="0"/>
        <v/>
      </c>
    </row>
    <row r="22" spans="1:9">
      <c r="A22" s="502">
        <v>4</v>
      </c>
      <c r="B22" s="682"/>
      <c r="C22" s="665"/>
      <c r="D22" s="682"/>
      <c r="E22" s="665"/>
      <c r="F22" s="504"/>
      <c r="G22" s="504"/>
      <c r="H22" s="503"/>
      <c r="I22" s="505" t="str">
        <f t="shared" si="0"/>
        <v/>
      </c>
    </row>
    <row r="23" spans="1:9">
      <c r="A23" s="497">
        <v>5</v>
      </c>
      <c r="B23" s="664"/>
      <c r="C23" s="665"/>
      <c r="D23" s="664"/>
      <c r="E23" s="665"/>
      <c r="F23" s="500"/>
      <c r="G23" s="500"/>
      <c r="H23" s="498"/>
      <c r="I23" s="501" t="str">
        <f t="shared" si="0"/>
        <v/>
      </c>
    </row>
    <row r="24" spans="1:9">
      <c r="A24" s="502">
        <v>6</v>
      </c>
      <c r="B24" s="682"/>
      <c r="C24" s="665"/>
      <c r="D24" s="682"/>
      <c r="E24" s="665"/>
      <c r="F24" s="504"/>
      <c r="G24" s="504"/>
      <c r="H24" s="503"/>
      <c r="I24" s="505" t="str">
        <f t="shared" si="0"/>
        <v/>
      </c>
    </row>
    <row r="25" spans="1:9">
      <c r="A25" s="497">
        <v>7</v>
      </c>
      <c r="B25" s="664"/>
      <c r="C25" s="665"/>
      <c r="D25" s="664"/>
      <c r="E25" s="665"/>
      <c r="F25" s="500"/>
      <c r="G25" s="500"/>
      <c r="H25" s="498"/>
      <c r="I25" s="501" t="str">
        <f t="shared" si="0"/>
        <v/>
      </c>
    </row>
    <row r="26" spans="1:9">
      <c r="A26" s="502">
        <v>8</v>
      </c>
      <c r="B26" s="682"/>
      <c r="C26" s="665"/>
      <c r="D26" s="682"/>
      <c r="E26" s="665"/>
      <c r="F26" s="504"/>
      <c r="G26" s="504"/>
      <c r="H26" s="503"/>
      <c r="I26" s="505" t="str">
        <f t="shared" si="0"/>
        <v/>
      </c>
    </row>
    <row r="27" spans="1:9">
      <c r="A27" s="497">
        <v>9</v>
      </c>
      <c r="B27" s="664"/>
      <c r="C27" s="665"/>
      <c r="D27" s="664"/>
      <c r="E27" s="665"/>
      <c r="F27" s="500"/>
      <c r="G27" s="500"/>
      <c r="H27" s="498"/>
      <c r="I27" s="501" t="str">
        <f t="shared" si="0"/>
        <v/>
      </c>
    </row>
    <row r="28" spans="1:9">
      <c r="A28" s="502">
        <v>10</v>
      </c>
      <c r="B28" s="682"/>
      <c r="C28" s="665"/>
      <c r="D28" s="682"/>
      <c r="E28" s="665"/>
      <c r="F28" s="504"/>
      <c r="G28" s="504"/>
      <c r="H28" s="503"/>
      <c r="I28" s="505" t="str">
        <f t="shared" si="0"/>
        <v/>
      </c>
    </row>
    <row r="29" spans="1:9">
      <c r="A29" s="497">
        <v>11</v>
      </c>
      <c r="B29" s="664"/>
      <c r="C29" s="665"/>
      <c r="D29" s="664"/>
      <c r="E29" s="665"/>
      <c r="F29" s="500"/>
      <c r="G29" s="500"/>
      <c r="H29" s="498"/>
      <c r="I29" s="501" t="str">
        <f t="shared" si="0"/>
        <v/>
      </c>
    </row>
    <row r="30" spans="1:9">
      <c r="A30" s="502">
        <v>12</v>
      </c>
      <c r="B30" s="682"/>
      <c r="C30" s="665"/>
      <c r="D30" s="682"/>
      <c r="E30" s="665"/>
      <c r="F30" s="504"/>
      <c r="G30" s="504"/>
      <c r="H30" s="503"/>
      <c r="I30" s="505" t="str">
        <f t="shared" si="0"/>
        <v/>
      </c>
    </row>
    <row r="31" spans="1:9">
      <c r="A31" s="497">
        <v>13</v>
      </c>
      <c r="B31" s="664"/>
      <c r="C31" s="665"/>
      <c r="D31" s="664"/>
      <c r="E31" s="665"/>
      <c r="F31" s="500"/>
      <c r="G31" s="500"/>
      <c r="H31" s="498"/>
      <c r="I31" s="501" t="str">
        <f t="shared" si="0"/>
        <v/>
      </c>
    </row>
    <row r="32" spans="1:9">
      <c r="A32" s="502">
        <v>14</v>
      </c>
      <c r="B32" s="682"/>
      <c r="C32" s="665"/>
      <c r="D32" s="682"/>
      <c r="E32" s="665"/>
      <c r="F32" s="504"/>
      <c r="G32" s="504"/>
      <c r="H32" s="503"/>
      <c r="I32" s="505" t="str">
        <f t="shared" si="0"/>
        <v/>
      </c>
    </row>
    <row r="33" spans="1:9">
      <c r="A33" s="497">
        <v>15</v>
      </c>
      <c r="B33" s="664"/>
      <c r="C33" s="665"/>
      <c r="D33" s="664"/>
      <c r="E33" s="665"/>
      <c r="F33" s="500"/>
      <c r="G33" s="500"/>
      <c r="H33" s="498"/>
      <c r="I33" s="501" t="str">
        <f t="shared" si="0"/>
        <v/>
      </c>
    </row>
    <row r="34" spans="1:9">
      <c r="A34" s="502">
        <v>16</v>
      </c>
      <c r="B34" s="682"/>
      <c r="C34" s="665"/>
      <c r="D34" s="682"/>
      <c r="E34" s="665"/>
      <c r="F34" s="504"/>
      <c r="G34" s="504"/>
      <c r="H34" s="503"/>
      <c r="I34" s="505" t="str">
        <f t="shared" si="0"/>
        <v/>
      </c>
    </row>
    <row r="35" spans="1:9">
      <c r="A35" s="497">
        <v>17</v>
      </c>
      <c r="B35" s="664"/>
      <c r="C35" s="665"/>
      <c r="D35" s="664"/>
      <c r="E35" s="665"/>
      <c r="F35" s="500"/>
      <c r="G35" s="500"/>
      <c r="H35" s="498"/>
      <c r="I35" s="501" t="str">
        <f t="shared" si="0"/>
        <v/>
      </c>
    </row>
    <row r="36" spans="1:9">
      <c r="A36" s="502">
        <v>18</v>
      </c>
      <c r="B36" s="682"/>
      <c r="C36" s="665"/>
      <c r="D36" s="682"/>
      <c r="E36" s="665"/>
      <c r="F36" s="504"/>
      <c r="G36" s="504"/>
      <c r="H36" s="503"/>
      <c r="I36" s="505" t="str">
        <f t="shared" si="0"/>
        <v/>
      </c>
    </row>
    <row r="37" spans="1:9">
      <c r="A37" s="497">
        <v>19</v>
      </c>
      <c r="B37" s="664"/>
      <c r="C37" s="665"/>
      <c r="D37" s="664"/>
      <c r="E37" s="665"/>
      <c r="F37" s="500"/>
      <c r="G37" s="500"/>
      <c r="H37" s="498"/>
      <c r="I37" s="501" t="str">
        <f t="shared" si="0"/>
        <v/>
      </c>
    </row>
    <row r="38" spans="1:9" ht="15" thickBot="1">
      <c r="A38" s="615">
        <v>20</v>
      </c>
      <c r="B38" s="684"/>
      <c r="C38" s="685"/>
      <c r="D38" s="684"/>
      <c r="E38" s="685"/>
      <c r="F38" s="617"/>
      <c r="G38" s="617"/>
      <c r="H38" s="616"/>
      <c r="I38" s="618" t="str">
        <f t="shared" si="0"/>
        <v/>
      </c>
    </row>
    <row r="39" spans="1:9">
      <c r="A39" s="686" t="s">
        <v>720</v>
      </c>
      <c r="B39" s="687"/>
      <c r="C39" s="687"/>
      <c r="D39" s="687"/>
      <c r="E39" s="687"/>
      <c r="F39" s="687"/>
      <c r="G39" s="687"/>
      <c r="H39" s="687"/>
      <c r="I39" s="620">
        <f>SUM(I19:I38)</f>
        <v>0</v>
      </c>
    </row>
    <row r="40" spans="1:9">
      <c r="A40" s="688" t="s">
        <v>699</v>
      </c>
      <c r="B40" s="689"/>
      <c r="C40" s="689"/>
      <c r="D40" s="689"/>
      <c r="E40" s="689"/>
      <c r="F40" s="689"/>
      <c r="G40" s="689"/>
      <c r="H40" s="689"/>
      <c r="I40" s="619">
        <f>ROUND(I39*マスター設定!K24,0)</f>
        <v>0</v>
      </c>
    </row>
    <row r="41" spans="1:9">
      <c r="A41" s="614"/>
      <c r="B41" s="575"/>
      <c r="C41" s="575"/>
      <c r="D41" s="575"/>
      <c r="E41" s="575"/>
      <c r="F41" s="575"/>
      <c r="G41" s="575"/>
      <c r="H41" s="575"/>
      <c r="I41" s="576"/>
    </row>
    <row r="42" spans="1:9" ht="28" customHeight="1" thickBot="1">
      <c r="A42" s="690" t="s">
        <v>721</v>
      </c>
      <c r="B42" s="691"/>
      <c r="C42" s="691"/>
      <c r="D42" s="691"/>
      <c r="E42" s="691"/>
      <c r="F42" s="691"/>
      <c r="G42" s="691"/>
      <c r="H42" s="691"/>
      <c r="I42" s="507">
        <f>I39+I40</f>
        <v>0</v>
      </c>
    </row>
    <row r="44" spans="1:9">
      <c r="A44" s="692" t="str">
        <f>IF(B1="請求書","【 振込口座 】","")</f>
        <v/>
      </c>
      <c r="B44" s="660"/>
      <c r="C44" s="660"/>
      <c r="D44" s="660"/>
      <c r="E44" s="660"/>
      <c r="F44" s="660"/>
      <c r="G44" s="660"/>
      <c r="H44" s="660"/>
      <c r="I44" s="660"/>
    </row>
    <row r="45" spans="1:9">
      <c r="A45" s="675"/>
      <c r="B45" s="660"/>
      <c r="C45" s="660"/>
      <c r="D45" s="660"/>
      <c r="E45" s="660"/>
      <c r="F45" s="660"/>
      <c r="G45" s="660"/>
      <c r="H45" s="660"/>
      <c r="I45" s="660"/>
    </row>
    <row r="47" spans="1:9">
      <c r="A47" s="683" t="str">
        <f>IF(B1="請求書","お振込手数料のご負担をお願い申し上げます。","※ 本発注書記載の金額にてご請求をお願いいたします。")</f>
        <v>※ 本発注書記載の金額にてご請求をお願いいたします。</v>
      </c>
      <c r="B47" s="660"/>
      <c r="C47" s="660"/>
      <c r="D47" s="660"/>
      <c r="E47" s="660"/>
      <c r="F47" s="660"/>
      <c r="G47" s="660"/>
      <c r="H47" s="660"/>
      <c r="I47" s="660"/>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workbookViewId="0"/>
  </sheetViews>
  <sheetFormatPr baseColWidth="10" defaultRowHeight="14"/>
  <sheetData>
    <row r="1" spans="1:18">
      <c r="A1" t="s">
        <v>765</v>
      </c>
    </row>
    <row r="2" spans="1:18">
      <c r="A2" t="s">
        <v>671</v>
      </c>
    </row>
    <row r="4" spans="1:18">
      <c r="A4" t="s">
        <v>672</v>
      </c>
    </row>
    <row r="5" spans="1:18">
      <c r="A5" t="s">
        <v>579</v>
      </c>
      <c r="B5" t="s">
        <v>601</v>
      </c>
      <c r="D5" t="s">
        <v>546</v>
      </c>
      <c r="E5" t="s">
        <v>558</v>
      </c>
      <c r="F5" t="s">
        <v>339</v>
      </c>
      <c r="G5" t="str">
        <f>IFERROR(VLOOKUP(E5,顧客マスタ!A:C,3,FALSE),"")</f>
        <v>吉野</v>
      </c>
      <c r="I5" t="s">
        <v>673</v>
      </c>
      <c r="J5" t="str">
        <f>IFERROR(VLOOKUP(E5,顧客マスタ!A:D,4,FALSE),"")</f>
        <v>様</v>
      </c>
      <c r="M5" t="s">
        <v>410</v>
      </c>
      <c r="N5" t="s">
        <v>394</v>
      </c>
    </row>
    <row r="6" spans="1:18">
      <c r="A6" t="s">
        <v>674</v>
      </c>
      <c r="B6" t="s">
        <v>763</v>
      </c>
      <c r="F6" t="s">
        <v>340</v>
      </c>
      <c r="G6" t="s">
        <v>764</v>
      </c>
      <c r="M6" t="s">
        <v>590</v>
      </c>
      <c r="N6" s="287">
        <f ca="1">TODAY()</f>
        <v>46064</v>
      </c>
    </row>
    <row r="7" spans="1:18">
      <c r="A7" t="s">
        <v>675</v>
      </c>
      <c r="B7">
        <v>0.25</v>
      </c>
      <c r="D7" t="s">
        <v>676</v>
      </c>
    </row>
    <row r="9" spans="1:18">
      <c r="A9" t="s">
        <v>677</v>
      </c>
    </row>
    <row r="11" spans="1:18">
      <c r="A11" t="s">
        <v>678</v>
      </c>
    </row>
    <row r="12" spans="1:18">
      <c r="A12" s="644" t="s">
        <v>902</v>
      </c>
    </row>
    <row r="13" spans="1:18">
      <c r="B13" t="s">
        <v>679</v>
      </c>
      <c r="H13" t="s">
        <v>680</v>
      </c>
      <c r="L13" t="s">
        <v>681</v>
      </c>
      <c r="N13" t="s">
        <v>682</v>
      </c>
    </row>
    <row r="14" spans="1:18">
      <c r="A14" t="s">
        <v>321</v>
      </c>
      <c r="B14" t="s">
        <v>683</v>
      </c>
      <c r="C14" t="s">
        <v>443</v>
      </c>
      <c r="D14" t="s">
        <v>350</v>
      </c>
      <c r="E14" t="s">
        <v>352</v>
      </c>
      <c r="F14" t="s">
        <v>684</v>
      </c>
      <c r="G14" t="s">
        <v>685</v>
      </c>
      <c r="H14" t="s">
        <v>444</v>
      </c>
      <c r="I14" t="s">
        <v>686</v>
      </c>
      <c r="J14" t="s">
        <v>687</v>
      </c>
      <c r="K14" t="s">
        <v>688</v>
      </c>
      <c r="L14" t="s">
        <v>689</v>
      </c>
      <c r="M14" t="s">
        <v>690</v>
      </c>
      <c r="N14" t="s">
        <v>691</v>
      </c>
      <c r="O14" t="s">
        <v>692</v>
      </c>
      <c r="P14" t="s">
        <v>693</v>
      </c>
      <c r="Q14" t="s">
        <v>694</v>
      </c>
      <c r="R14" t="s">
        <v>164</v>
      </c>
    </row>
    <row r="15" spans="1:18">
      <c r="A15">
        <v>1</v>
      </c>
      <c r="B15" t="s">
        <v>347</v>
      </c>
      <c r="C15" t="s">
        <v>118</v>
      </c>
      <c r="D15" t="s">
        <v>767</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768</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769</v>
      </c>
      <c r="E17" t="s">
        <v>770</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701</v>
      </c>
      <c r="E18" t="s">
        <v>771</v>
      </c>
      <c r="F18">
        <v>650</v>
      </c>
      <c r="G18">
        <f t="shared" si="0"/>
        <v>18200</v>
      </c>
      <c r="H18" t="s">
        <v>702</v>
      </c>
      <c r="I18">
        <v>28</v>
      </c>
      <c r="J18">
        <v>1100</v>
      </c>
      <c r="K18">
        <f t="shared" si="1"/>
        <v>30800</v>
      </c>
      <c r="L18">
        <f t="shared" si="2"/>
        <v>12600</v>
      </c>
      <c r="M18">
        <f t="shared" si="3"/>
        <v>0.40909090909090912</v>
      </c>
      <c r="P18" t="str">
        <f t="shared" si="4"/>
        <v/>
      </c>
    </row>
    <row r="19" spans="1:16">
      <c r="A19">
        <v>5</v>
      </c>
      <c r="B19" t="s">
        <v>351</v>
      </c>
      <c r="C19" t="s">
        <v>435</v>
      </c>
      <c r="D19" t="s">
        <v>772</v>
      </c>
      <c r="E19" t="s">
        <v>773</v>
      </c>
      <c r="F19">
        <v>800</v>
      </c>
      <c r="G19">
        <f t="shared" si="0"/>
        <v>9600</v>
      </c>
      <c r="H19" t="s">
        <v>702</v>
      </c>
      <c r="I19">
        <v>12</v>
      </c>
      <c r="J19">
        <v>1800</v>
      </c>
      <c r="K19">
        <f t="shared" si="1"/>
        <v>21600</v>
      </c>
      <c r="L19">
        <f t="shared" si="2"/>
        <v>12000</v>
      </c>
      <c r="M19">
        <f t="shared" si="3"/>
        <v>0.55555555555555558</v>
      </c>
      <c r="P19" t="str">
        <f t="shared" si="4"/>
        <v/>
      </c>
    </row>
    <row r="20" spans="1:16">
      <c r="A20">
        <v>6</v>
      </c>
      <c r="B20" t="s">
        <v>347</v>
      </c>
      <c r="C20" t="s">
        <v>774</v>
      </c>
      <c r="D20" t="s">
        <v>775</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776</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695</v>
      </c>
      <c r="G45">
        <f>SUM(G15:G44)</f>
        <v>753800</v>
      </c>
      <c r="J45" t="s">
        <v>696</v>
      </c>
      <c r="K45">
        <f>SUM(K15:K44)</f>
        <v>1140400</v>
      </c>
      <c r="L45">
        <f>K45-G45</f>
        <v>386600</v>
      </c>
      <c r="M45">
        <f>IF(K45&lt;&gt;0,L45/K45,"")</f>
        <v>0.33900385829533497</v>
      </c>
      <c r="P45">
        <f>SUM(P15:P44)</f>
        <v>0</v>
      </c>
    </row>
    <row r="47" spans="1:16">
      <c r="A47" t="s">
        <v>697</v>
      </c>
    </row>
    <row r="48" spans="1:16">
      <c r="A48" t="s">
        <v>698</v>
      </c>
      <c r="G48">
        <f>G45</f>
        <v>753800</v>
      </c>
      <c r="K48">
        <f>K45</f>
        <v>1140400</v>
      </c>
      <c r="L48">
        <f>L45</f>
        <v>386600</v>
      </c>
      <c r="M48">
        <f>M45</f>
        <v>0.33900385829533497</v>
      </c>
    </row>
    <row r="49" spans="1:13">
      <c r="A49" t="s">
        <v>699</v>
      </c>
      <c r="G49">
        <f>ROUND(G48*マスター設定!K24,0)</f>
        <v>75380</v>
      </c>
      <c r="K49">
        <f>ROUND(K48*マスター設定!K24,0)</f>
        <v>114040</v>
      </c>
    </row>
    <row r="50" spans="1:13">
      <c r="A50" t="s">
        <v>700</v>
      </c>
      <c r="G50">
        <f>G48+G49</f>
        <v>829180</v>
      </c>
      <c r="K50">
        <f>K48+K49</f>
        <v>1254440</v>
      </c>
      <c r="L50">
        <f>K50-G50</f>
        <v>425260</v>
      </c>
      <c r="M50">
        <f>IF(K50&lt;&gt;0,L50/K50,"")</f>
        <v>0.33900385829533497</v>
      </c>
    </row>
    <row r="53" spans="1:13">
      <c r="A53" t="s">
        <v>745</v>
      </c>
    </row>
    <row r="54" spans="1:13">
      <c r="A54" t="s">
        <v>746</v>
      </c>
      <c r="C54" t="s">
        <v>747</v>
      </c>
    </row>
    <row r="55" spans="1:13">
      <c r="A55" t="s">
        <v>748</v>
      </c>
      <c r="C55" t="s">
        <v>749</v>
      </c>
      <c r="E55" t="s">
        <v>750</v>
      </c>
    </row>
    <row r="56" spans="1:13">
      <c r="A56" t="s">
        <v>751</v>
      </c>
    </row>
    <row r="60" spans="1:13" ht="15">
      <c r="A60" s="641" t="s">
        <v>898</v>
      </c>
    </row>
    <row r="61" spans="1:13">
      <c r="A61" s="377" t="s">
        <v>899</v>
      </c>
    </row>
    <row r="62" spans="1:13">
      <c r="A62" s="643" t="s">
        <v>901</v>
      </c>
    </row>
    <row r="63" spans="1:13" ht="15" thickBot="1">
      <c r="A63" s="642" t="s">
        <v>443</v>
      </c>
      <c r="B63" s="642" t="s">
        <v>895</v>
      </c>
      <c r="C63" s="642" t="s">
        <v>896</v>
      </c>
      <c r="D63" s="642" t="s">
        <v>444</v>
      </c>
      <c r="E63" s="642" t="s">
        <v>354</v>
      </c>
      <c r="F63" s="642" t="s">
        <v>355</v>
      </c>
      <c r="G63" s="642" t="s">
        <v>356</v>
      </c>
      <c r="H63" s="642" t="s">
        <v>690</v>
      </c>
      <c r="I63" s="642" t="s">
        <v>357</v>
      </c>
      <c r="J63" s="642" t="s">
        <v>338</v>
      </c>
      <c r="K63" s="817" t="s">
        <v>900</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6" t="s">
        <v>999</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774</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559</v>
      </c>
      <c r="C5" s="311" t="s">
        <v>560</v>
      </c>
      <c r="D5" s="310" t="s">
        <v>405</v>
      </c>
      <c r="E5" s="311"/>
      <c r="F5" s="336"/>
      <c r="G5" s="311"/>
      <c r="H5" s="311"/>
      <c r="I5" s="311"/>
      <c r="J5" s="311"/>
      <c r="K5" s="311"/>
      <c r="L5" s="394">
        <f>COUNTIF(案件管理!B:B,A5)</f>
        <v>3</v>
      </c>
      <c r="M5" s="395">
        <f>SUMIFS(案件管理!F:F,案件管理!B:B,A5,案件管理!I:I,"⑤受注")+SUMIFS(案件管理!F:F,案件管理!B:B,A5,案件管理!I:I,"⑦完工")</f>
        <v>4754440</v>
      </c>
      <c r="N5" s="333"/>
      <c r="O5" s="310"/>
      <c r="P5" s="333">
        <v>45759</v>
      </c>
      <c r="Q5" s="333">
        <v>45759</v>
      </c>
      <c r="R5" s="373" t="s">
        <v>561</v>
      </c>
      <c r="S5" s="309" t="s">
        <v>562</v>
      </c>
      <c r="T5" s="309"/>
    </row>
    <row r="6" spans="1:20">
      <c r="A6" s="294" t="s">
        <v>563</v>
      </c>
      <c r="B6" s="294" t="s">
        <v>564</v>
      </c>
      <c r="C6" s="295" t="s">
        <v>565</v>
      </c>
      <c r="D6" s="294" t="s">
        <v>566</v>
      </c>
      <c r="E6" s="295"/>
      <c r="F6" s="337"/>
      <c r="G6" s="295"/>
      <c r="H6" s="295"/>
      <c r="I6" s="295"/>
      <c r="J6" s="295"/>
      <c r="K6" s="295"/>
      <c r="L6" s="394">
        <f>COUNTIF(案件管理!B:B,A6)</f>
        <v>0</v>
      </c>
      <c r="M6" s="395">
        <f>SUMIFS(案件管理!F:F,案件管理!B:B,A6,案件管理!I:I,"⑤受注")+SUMIFS(案件管理!F:F,案件管理!B:B,A6,案件管理!I:I,"⑦完工")</f>
        <v>0</v>
      </c>
      <c r="N6" s="335"/>
      <c r="O6" s="294"/>
      <c r="P6" s="335"/>
      <c r="Q6" s="335"/>
      <c r="R6" s="373" t="s">
        <v>561</v>
      </c>
      <c r="S6" t="s">
        <v>567</v>
      </c>
    </row>
    <row r="7" spans="1:20">
      <c r="A7" s="310" t="s">
        <v>568</v>
      </c>
      <c r="B7" s="336"/>
      <c r="C7" s="311"/>
      <c r="D7" s="336"/>
      <c r="E7" s="311"/>
      <c r="F7" s="336"/>
      <c r="G7" s="311"/>
      <c r="H7" s="311"/>
      <c r="I7" s="311"/>
      <c r="J7" s="311"/>
      <c r="K7" s="311"/>
      <c r="L7" s="394">
        <f>COUNTIF(案件管理!B:B,A7)</f>
        <v>0</v>
      </c>
      <c r="M7" s="395">
        <f>SUMIFS(案件管理!F:F,案件管理!B:B,A7,案件管理!I:I,"⑤受注")+SUMIFS(案件管理!F:F,案件管理!B:B,A7,案件管理!I:I,"⑦完工")</f>
        <v>0</v>
      </c>
      <c r="N7" s="333"/>
      <c r="O7" s="310"/>
      <c r="P7" s="333"/>
      <c r="Q7" s="333"/>
      <c r="R7" s="310"/>
      <c r="S7" s="309"/>
      <c r="T7" s="309"/>
    </row>
    <row r="8" spans="1:20">
      <c r="A8" s="294" t="s">
        <v>569</v>
      </c>
      <c r="B8" s="337"/>
      <c r="C8" s="295"/>
      <c r="D8" s="337"/>
      <c r="E8" s="295"/>
      <c r="F8" s="337"/>
      <c r="G8" s="295"/>
      <c r="H8" s="295"/>
      <c r="I8" s="295"/>
      <c r="J8" s="295"/>
      <c r="K8" s="295"/>
      <c r="L8" s="394">
        <f>COUNTIF(案件管理!B:B,A8)</f>
        <v>0</v>
      </c>
      <c r="M8" s="395">
        <f>SUMIFS(案件管理!F:F,案件管理!B:B,A8,案件管理!I:I,"⑤受注")+SUMIFS(案件管理!F:F,案件管理!B:B,A8,案件管理!I:I,"⑦完工")</f>
        <v>0</v>
      </c>
      <c r="N8" s="335"/>
      <c r="O8" s="294"/>
      <c r="P8" s="335"/>
      <c r="Q8" s="335"/>
      <c r="R8" s="294"/>
    </row>
    <row r="9" spans="1:20">
      <c r="A9" s="310" t="s">
        <v>570</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571</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572</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573</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574</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575</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tabSelected="1" topLeftCell="A16"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1015" t="s">
        <v>1908</v>
      </c>
    </row>
    <row r="27" spans="1:14">
      <c r="B27" s="300" t="s">
        <v>341</v>
      </c>
      <c r="C27" s="313" t="s">
        <v>414</v>
      </c>
      <c r="J27" s="300" t="s">
        <v>1909</v>
      </c>
      <c r="K27">
        <f>COUNTA(案件管理!I5:I104)</f>
        <v>3</v>
      </c>
    </row>
    <row r="28" spans="1:14">
      <c r="B28" s="300" t="s">
        <v>415</v>
      </c>
      <c r="C28" s="313" t="s">
        <v>416</v>
      </c>
      <c r="J28" s="300" t="s">
        <v>1910</v>
      </c>
      <c r="K28" t="str">
        <f>"P-"&amp;TEXT(COUNTA(案件管理!I5:I104)+1,"000")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4" t="s">
        <v>118</v>
      </c>
      <c r="E35" s="324" t="s">
        <v>1735</v>
      </c>
      <c r="F35" s="325">
        <v>98000</v>
      </c>
      <c r="G35" s="326" t="s">
        <v>426</v>
      </c>
    </row>
    <row r="36" spans="1:14" ht="17">
      <c r="B36" s="294">
        <v>2</v>
      </c>
      <c r="C36" s="322" t="s">
        <v>427</v>
      </c>
      <c r="D36" s="819" t="s">
        <v>429</v>
      </c>
      <c r="E36" s="323" t="s">
        <v>1736</v>
      </c>
      <c r="F36" s="327">
        <v>0</v>
      </c>
      <c r="G36" s="328"/>
    </row>
    <row r="37" spans="1:14" ht="17">
      <c r="B37" s="310">
        <v>3</v>
      </c>
      <c r="C37" s="322" t="s">
        <v>427</v>
      </c>
      <c r="D37" s="824" t="s">
        <v>348</v>
      </c>
      <c r="E37" s="324" t="s">
        <v>1737</v>
      </c>
      <c r="F37" s="325">
        <v>0</v>
      </c>
      <c r="G37" s="329"/>
    </row>
    <row r="38" spans="1:14" ht="17">
      <c r="B38" s="294">
        <v>4</v>
      </c>
      <c r="C38" s="322" t="s">
        <v>427</v>
      </c>
      <c r="D38" s="819" t="s">
        <v>126</v>
      </c>
      <c r="E38" s="323" t="s">
        <v>1738</v>
      </c>
      <c r="F38" s="327">
        <v>0</v>
      </c>
      <c r="G38" s="328"/>
    </row>
    <row r="39" spans="1:14" ht="17">
      <c r="B39" s="310">
        <v>5</v>
      </c>
      <c r="C39" s="322" t="s">
        <v>427</v>
      </c>
      <c r="D39" s="824" t="s">
        <v>774</v>
      </c>
      <c r="E39" s="324" t="s">
        <v>1739</v>
      </c>
      <c r="F39" s="325">
        <v>0</v>
      </c>
      <c r="G39" s="329"/>
    </row>
    <row r="40" spans="1:14" ht="17">
      <c r="B40" s="294">
        <v>6</v>
      </c>
      <c r="C40" s="322" t="s">
        <v>425</v>
      </c>
      <c r="D40" s="819" t="s">
        <v>433</v>
      </c>
      <c r="E40" s="323" t="s">
        <v>1740</v>
      </c>
      <c r="F40" s="327">
        <v>188000</v>
      </c>
      <c r="G40" s="330" t="s">
        <v>426</v>
      </c>
    </row>
    <row r="41" spans="1:14" ht="17">
      <c r="B41" s="310">
        <v>7</v>
      </c>
      <c r="C41" s="322" t="s">
        <v>427</v>
      </c>
      <c r="D41" s="824" t="s">
        <v>435</v>
      </c>
      <c r="E41" s="324" t="s">
        <v>1741</v>
      </c>
      <c r="F41" s="325">
        <v>0</v>
      </c>
      <c r="G41" s="329"/>
    </row>
    <row r="42" spans="1:14" ht="17">
      <c r="B42" s="294">
        <v>8</v>
      </c>
      <c r="C42" s="322" t="s">
        <v>425</v>
      </c>
      <c r="D42" s="819" t="s">
        <v>436</v>
      </c>
      <c r="E42" s="323" t="s">
        <v>1742</v>
      </c>
      <c r="F42" s="327">
        <v>1264120</v>
      </c>
      <c r="G42" s="330" t="s">
        <v>426</v>
      </c>
    </row>
    <row r="43" spans="1:14" ht="17">
      <c r="B43" s="310">
        <v>9</v>
      </c>
      <c r="C43" s="322" t="s">
        <v>425</v>
      </c>
      <c r="D43" s="824" t="s">
        <v>492</v>
      </c>
      <c r="E43" s="324" t="s">
        <v>1743</v>
      </c>
      <c r="F43" s="325">
        <v>3013690</v>
      </c>
      <c r="G43" s="326" t="s">
        <v>426</v>
      </c>
    </row>
    <row r="44" spans="1:14" ht="17">
      <c r="B44" s="294">
        <v>10</v>
      </c>
      <c r="C44" s="322" t="s">
        <v>427</v>
      </c>
      <c r="D44" s="819" t="s">
        <v>124</v>
      </c>
      <c r="E44" s="323" t="s">
        <v>1744</v>
      </c>
      <c r="F44" s="327">
        <v>0</v>
      </c>
      <c r="G44" s="328"/>
    </row>
    <row r="45" spans="1:14" ht="17">
      <c r="B45" s="310">
        <v>11</v>
      </c>
      <c r="C45" s="322" t="s">
        <v>425</v>
      </c>
      <c r="D45" s="824" t="s">
        <v>122</v>
      </c>
      <c r="E45" s="324" t="s">
        <v>1745</v>
      </c>
      <c r="F45" s="325">
        <v>243500</v>
      </c>
      <c r="G45" s="326" t="s">
        <v>426</v>
      </c>
    </row>
    <row r="46" spans="1:14" ht="17">
      <c r="B46" s="294">
        <v>12</v>
      </c>
      <c r="C46" s="322" t="s">
        <v>427</v>
      </c>
      <c r="D46" s="819" t="s">
        <v>431</v>
      </c>
      <c r="E46" s="323" t="s">
        <v>1746</v>
      </c>
      <c r="F46" s="327">
        <v>0</v>
      </c>
      <c r="G46" s="328"/>
    </row>
    <row r="47" spans="1:14" ht="17">
      <c r="B47" s="310">
        <v>13</v>
      </c>
      <c r="C47" s="322" t="s">
        <v>425</v>
      </c>
      <c r="D47" s="824" t="s">
        <v>432</v>
      </c>
      <c r="E47" s="324" t="s">
        <v>1747</v>
      </c>
      <c r="F47" s="325">
        <v>423500</v>
      </c>
      <c r="G47" s="326" t="s">
        <v>426</v>
      </c>
    </row>
    <row r="48" spans="1:14" ht="17">
      <c r="B48" s="294">
        <v>14</v>
      </c>
      <c r="C48" s="322" t="s">
        <v>427</v>
      </c>
      <c r="D48" s="819" t="s">
        <v>434</v>
      </c>
      <c r="E48" s="323" t="s">
        <v>1748</v>
      </c>
      <c r="F48" s="327">
        <v>0</v>
      </c>
      <c r="G48" s="328"/>
    </row>
    <row r="49" spans="2:7" ht="17">
      <c r="B49" s="310">
        <v>15</v>
      </c>
      <c r="C49" s="322" t="s">
        <v>427</v>
      </c>
      <c r="D49" s="824" t="s">
        <v>437</v>
      </c>
      <c r="E49" s="324" t="s">
        <v>1749</v>
      </c>
      <c r="F49" s="325">
        <v>0</v>
      </c>
      <c r="G49" s="329"/>
    </row>
    <row r="50" spans="2:7" ht="17">
      <c r="B50" s="294">
        <v>16</v>
      </c>
      <c r="C50" s="322" t="s">
        <v>425</v>
      </c>
      <c r="D50" s="819" t="s">
        <v>130</v>
      </c>
      <c r="E50" s="323" t="s">
        <v>1750</v>
      </c>
      <c r="F50" s="327">
        <v>65000</v>
      </c>
      <c r="G50" s="330" t="s">
        <v>426</v>
      </c>
    </row>
    <row r="51" spans="2:7" ht="17">
      <c r="B51" s="310">
        <v>17</v>
      </c>
      <c r="C51" s="322" t="s">
        <v>427</v>
      </c>
      <c r="D51" s="824" t="s">
        <v>438</v>
      </c>
      <c r="E51" s="324" t="s">
        <v>1751</v>
      </c>
      <c r="F51" s="325">
        <v>0</v>
      </c>
      <c r="G51" s="329"/>
    </row>
    <row r="52" spans="2:7" ht="17">
      <c r="B52" s="294">
        <v>18</v>
      </c>
      <c r="C52" s="322" t="s">
        <v>427</v>
      </c>
      <c r="D52" s="819" t="s">
        <v>439</v>
      </c>
      <c r="E52" s="323" t="s">
        <v>1752</v>
      </c>
      <c r="F52" s="327">
        <v>0</v>
      </c>
      <c r="G52" s="328"/>
    </row>
    <row r="53" spans="2:7" ht="17">
      <c r="B53" s="310">
        <v>19</v>
      </c>
      <c r="C53" s="322" t="s">
        <v>427</v>
      </c>
      <c r="D53" s="824" t="s">
        <v>428</v>
      </c>
      <c r="E53" s="324" t="s">
        <v>1753</v>
      </c>
      <c r="F53" s="325">
        <v>0</v>
      </c>
      <c r="G53" s="329"/>
    </row>
    <row r="54" spans="2:7" ht="17">
      <c r="B54" s="294">
        <v>20</v>
      </c>
      <c r="C54" s="322" t="s">
        <v>427</v>
      </c>
      <c r="D54" s="819" t="s">
        <v>120</v>
      </c>
      <c r="E54" s="323" t="s">
        <v>1754</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4" t="s">
        <v>690</v>
      </c>
      <c r="J4" s="293" t="s">
        <v>357</v>
      </c>
      <c r="K4" s="293" t="s">
        <v>338</v>
      </c>
      <c r="L4" s="640" t="s">
        <v>897</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767</v>
      </c>
      <c r="D37" t="s">
        <v>488</v>
      </c>
      <c r="E37" s="310" t="s">
        <v>457</v>
      </c>
      <c r="F37" s="638">
        <v>85000</v>
      </c>
      <c r="H37" s="333">
        <f ca="1">TODAY()</f>
        <v>46064</v>
      </c>
      <c r="I37" s="333"/>
      <c r="J37" s="310">
        <v>1</v>
      </c>
      <c r="K37" s="309" t="s">
        <v>765</v>
      </c>
      <c r="L37" t="str">
        <f t="shared" si="0"/>
        <v>解体工事|既存キッチン解体・撤去</v>
      </c>
      <c r="M37">
        <f ca="1">TODAY()</f>
        <v>46064</v>
      </c>
    </row>
    <row r="38" spans="1:13">
      <c r="A38" s="294">
        <v>34</v>
      </c>
      <c r="B38" t="s">
        <v>436</v>
      </c>
      <c r="C38" t="s">
        <v>768</v>
      </c>
      <c r="D38" t="s">
        <v>488</v>
      </c>
      <c r="E38" s="294" t="s">
        <v>457</v>
      </c>
      <c r="F38" s="639">
        <v>120000</v>
      </c>
      <c r="H38" s="335">
        <f ca="1">TODAY()</f>
        <v>46064</v>
      </c>
      <c r="I38" s="815">
        <v>0.25</v>
      </c>
      <c r="J38" s="294">
        <v>1</v>
      </c>
      <c r="K38" t="s">
        <v>765</v>
      </c>
      <c r="L38" t="str">
        <f t="shared" si="0"/>
        <v>衛生設備|給排水配管工事</v>
      </c>
      <c r="M38">
        <f ca="1">TODAY()</f>
        <v>46064</v>
      </c>
    </row>
    <row r="39" spans="1:13">
      <c r="A39" s="310">
        <v>35</v>
      </c>
      <c r="B39" s="309" t="s">
        <v>126</v>
      </c>
      <c r="C39" s="309" t="s">
        <v>769</v>
      </c>
      <c r="D39" t="s">
        <v>770</v>
      </c>
      <c r="E39" s="310" t="s">
        <v>451</v>
      </c>
      <c r="F39" s="639">
        <v>420000</v>
      </c>
      <c r="H39" s="333">
        <f ca="1">TODAY()</f>
        <v>46064</v>
      </c>
      <c r="I39" s="816">
        <v>0.25</v>
      </c>
      <c r="J39" s="310">
        <v>1</v>
      </c>
      <c r="K39" s="309" t="s">
        <v>765</v>
      </c>
      <c r="L39" t="str">
        <f t="shared" si="0"/>
        <v>家具工事|LIXIL システムキッチン シエラS</v>
      </c>
      <c r="M39">
        <f ca="1">TODAY()</f>
        <v>46064</v>
      </c>
    </row>
    <row r="40" spans="1:13">
      <c r="A40" s="294">
        <v>36</v>
      </c>
      <c r="B40" t="s">
        <v>435</v>
      </c>
      <c r="C40" t="s">
        <v>701</v>
      </c>
      <c r="D40" t="s">
        <v>771</v>
      </c>
      <c r="E40" s="294" t="s">
        <v>702</v>
      </c>
      <c r="F40" s="639">
        <v>650</v>
      </c>
      <c r="H40" s="335">
        <f ca="1">TODAY()</f>
        <v>46064</v>
      </c>
      <c r="I40" s="815">
        <v>0.38235294117647101</v>
      </c>
      <c r="J40" s="294">
        <v>1</v>
      </c>
      <c r="K40" t="s">
        <v>765</v>
      </c>
      <c r="L40" t="str">
        <f t="shared" si="0"/>
        <v>仕上げ工事|クロス張替え</v>
      </c>
      <c r="M40">
        <f ca="1">TODAY()</f>
        <v>46064</v>
      </c>
    </row>
    <row r="41" spans="1:13">
      <c r="A41" s="310">
        <v>37</v>
      </c>
      <c r="B41" s="309" t="s">
        <v>435</v>
      </c>
      <c r="C41" s="309" t="s">
        <v>772</v>
      </c>
      <c r="D41" t="s">
        <v>773</v>
      </c>
      <c r="E41" s="310" t="s">
        <v>702</v>
      </c>
      <c r="F41" s="639">
        <v>800</v>
      </c>
      <c r="H41" s="333">
        <f ca="1">TODAY()</f>
        <v>46064</v>
      </c>
      <c r="I41" s="816">
        <v>0.40909090909090901</v>
      </c>
      <c r="J41" s="310">
        <v>1</v>
      </c>
      <c r="K41" s="309" t="s">
        <v>765</v>
      </c>
      <c r="L41" t="str">
        <f t="shared" si="0"/>
        <v>仕上げ工事|CFシート張替え</v>
      </c>
      <c r="M41">
        <f ca="1">TODAY()</f>
        <v>46064</v>
      </c>
    </row>
    <row r="42" spans="1:13">
      <c r="A42" s="294">
        <v>38</v>
      </c>
      <c r="B42" t="s">
        <v>774</v>
      </c>
      <c r="C42" t="s">
        <v>775</v>
      </c>
      <c r="D42" t="s">
        <v>488</v>
      </c>
      <c r="E42" s="294" t="s">
        <v>457</v>
      </c>
      <c r="F42" s="639">
        <v>65000</v>
      </c>
      <c r="H42" s="335">
        <f ca="1">TODAY()</f>
        <v>46064</v>
      </c>
      <c r="I42" s="815">
        <v>0.55555555555555602</v>
      </c>
      <c r="J42" s="294">
        <v>1</v>
      </c>
      <c r="K42" t="s">
        <v>765</v>
      </c>
      <c r="L42" t="str">
        <f t="shared" si="0"/>
        <v>電気設備|コンセント増設・照明移設</v>
      </c>
      <c r="M42">
        <f ca="1">TODAY()</f>
        <v>46064</v>
      </c>
    </row>
    <row r="43" spans="1:13">
      <c r="A43" s="310">
        <v>39</v>
      </c>
      <c r="B43" s="309" t="s">
        <v>492</v>
      </c>
      <c r="C43" s="309" t="s">
        <v>776</v>
      </c>
      <c r="D43" t="s">
        <v>447</v>
      </c>
      <c r="E43" s="310" t="s">
        <v>448</v>
      </c>
      <c r="F43" s="639">
        <v>18000</v>
      </c>
      <c r="H43" s="333">
        <f ca="1">TODAY()</f>
        <v>46064</v>
      </c>
      <c r="I43" s="816">
        <v>0.25</v>
      </c>
      <c r="J43" s="310">
        <v>1</v>
      </c>
      <c r="K43" s="309" t="s">
        <v>765</v>
      </c>
      <c r="L43" t="str">
        <f t="shared" si="0"/>
        <v>共通|産廃処理費</v>
      </c>
      <c r="M43">
        <f ca="1">TODAY()</f>
        <v>46064</v>
      </c>
    </row>
    <row r="44" spans="1:13">
      <c r="I44" s="815">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1674</v>
      </c>
      <c r="E74" t="s">
        <v>444</v>
      </c>
      <c r="F74">
        <v>0</v>
      </c>
      <c r="H74">
        <v>45759</v>
      </c>
      <c r="J74">
        <v>1</v>
      </c>
      <c r="K74" t="s">
        <v>449</v>
      </c>
      <c r="L74" t="s">
        <v>1675</v>
      </c>
      <c r="M74">
        <v>45759</v>
      </c>
    </row>
    <row r="75" spans="1:13">
      <c r="A75">
        <v>71</v>
      </c>
      <c r="B75" t="s">
        <v>126</v>
      </c>
      <c r="C75" t="s">
        <v>1676</v>
      </c>
      <c r="E75" t="s">
        <v>469</v>
      </c>
      <c r="F75">
        <v>65000</v>
      </c>
      <c r="H75">
        <v>45759</v>
      </c>
      <c r="J75">
        <v>1</v>
      </c>
      <c r="K75" t="s">
        <v>449</v>
      </c>
      <c r="L75" t="s">
        <v>1677</v>
      </c>
      <c r="M75">
        <v>45759</v>
      </c>
    </row>
    <row r="76" spans="1:13">
      <c r="A76">
        <v>72</v>
      </c>
      <c r="B76" t="s">
        <v>126</v>
      </c>
      <c r="C76" t="s">
        <v>1678</v>
      </c>
      <c r="D76" t="s">
        <v>1679</v>
      </c>
      <c r="E76" t="s">
        <v>455</v>
      </c>
      <c r="F76">
        <v>28500</v>
      </c>
      <c r="H76">
        <v>45759</v>
      </c>
      <c r="J76">
        <v>1</v>
      </c>
      <c r="K76" t="s">
        <v>449</v>
      </c>
      <c r="L76" t="s">
        <v>1680</v>
      </c>
      <c r="M76">
        <v>45759</v>
      </c>
    </row>
    <row r="77" spans="1:13">
      <c r="A77">
        <v>73</v>
      </c>
      <c r="B77" t="s">
        <v>126</v>
      </c>
      <c r="C77" t="s">
        <v>1681</v>
      </c>
      <c r="D77" t="s">
        <v>1682</v>
      </c>
      <c r="E77" t="s">
        <v>469</v>
      </c>
      <c r="F77">
        <v>76500</v>
      </c>
      <c r="H77">
        <v>45759</v>
      </c>
      <c r="J77">
        <v>1</v>
      </c>
      <c r="K77" t="s">
        <v>449</v>
      </c>
      <c r="L77" t="s">
        <v>1683</v>
      </c>
      <c r="M77">
        <v>45759</v>
      </c>
    </row>
    <row r="78" spans="1:13">
      <c r="A78">
        <v>74</v>
      </c>
      <c r="B78" t="s">
        <v>126</v>
      </c>
      <c r="C78" t="s">
        <v>1684</v>
      </c>
      <c r="D78" t="s">
        <v>1685</v>
      </c>
      <c r="E78" t="s">
        <v>353</v>
      </c>
      <c r="F78">
        <v>10000</v>
      </c>
      <c r="H78">
        <v>45759</v>
      </c>
      <c r="J78">
        <v>1</v>
      </c>
      <c r="K78" t="s">
        <v>449</v>
      </c>
      <c r="L78" t="s">
        <v>1686</v>
      </c>
      <c r="M78">
        <v>45759</v>
      </c>
    </row>
    <row r="79" spans="1:13">
      <c r="A79">
        <v>75</v>
      </c>
      <c r="B79" t="s">
        <v>126</v>
      </c>
      <c r="C79" t="s">
        <v>1687</v>
      </c>
      <c r="E79" t="s">
        <v>353</v>
      </c>
      <c r="F79">
        <v>56000</v>
      </c>
      <c r="H79">
        <v>45759</v>
      </c>
      <c r="J79">
        <v>1</v>
      </c>
      <c r="K79" t="s">
        <v>449</v>
      </c>
      <c r="L79" t="s">
        <v>1688</v>
      </c>
      <c r="M79">
        <v>45759</v>
      </c>
    </row>
    <row r="80" spans="1:13">
      <c r="A80">
        <v>76</v>
      </c>
      <c r="B80" t="s">
        <v>126</v>
      </c>
      <c r="C80" t="s">
        <v>1689</v>
      </c>
      <c r="D80" t="s">
        <v>1690</v>
      </c>
      <c r="E80" t="s">
        <v>451</v>
      </c>
      <c r="F80">
        <v>135000</v>
      </c>
      <c r="H80">
        <v>45759</v>
      </c>
      <c r="J80">
        <v>1</v>
      </c>
      <c r="K80" t="s">
        <v>449</v>
      </c>
      <c r="L80" t="s">
        <v>1691</v>
      </c>
      <c r="M80">
        <v>45759</v>
      </c>
    </row>
    <row r="81" spans="1:13">
      <c r="A81">
        <v>77</v>
      </c>
      <c r="B81" t="s">
        <v>126</v>
      </c>
      <c r="C81" t="s">
        <v>1692</v>
      </c>
      <c r="E81" t="s">
        <v>451</v>
      </c>
      <c r="F81">
        <v>69000</v>
      </c>
      <c r="H81">
        <v>45759</v>
      </c>
      <c r="J81">
        <v>1</v>
      </c>
      <c r="K81" t="s">
        <v>449</v>
      </c>
      <c r="L81" t="s">
        <v>1693</v>
      </c>
      <c r="M81">
        <v>45759</v>
      </c>
    </row>
    <row r="82" spans="1:13">
      <c r="A82">
        <v>78</v>
      </c>
      <c r="B82" t="s">
        <v>126</v>
      </c>
      <c r="C82" t="s">
        <v>1694</v>
      </c>
      <c r="E82" t="s">
        <v>457</v>
      </c>
      <c r="F82">
        <v>20000</v>
      </c>
      <c r="H82">
        <v>45759</v>
      </c>
      <c r="J82">
        <v>1</v>
      </c>
      <c r="K82" t="s">
        <v>449</v>
      </c>
      <c r="L82" t="s">
        <v>1695</v>
      </c>
      <c r="M82">
        <v>45759</v>
      </c>
    </row>
    <row r="83" spans="1:13">
      <c r="A83">
        <v>79</v>
      </c>
      <c r="B83" t="s">
        <v>126</v>
      </c>
      <c r="C83" t="s">
        <v>1696</v>
      </c>
      <c r="E83" t="s">
        <v>451</v>
      </c>
      <c r="F83">
        <v>46500</v>
      </c>
      <c r="H83">
        <v>45759</v>
      </c>
      <c r="J83">
        <v>1</v>
      </c>
      <c r="K83" t="s">
        <v>449</v>
      </c>
      <c r="L83" t="s">
        <v>1697</v>
      </c>
      <c r="M83">
        <v>45759</v>
      </c>
    </row>
    <row r="84" spans="1:13">
      <c r="A84">
        <v>80</v>
      </c>
      <c r="B84" t="s">
        <v>126</v>
      </c>
      <c r="C84" t="s">
        <v>1698</v>
      </c>
      <c r="D84" t="s">
        <v>1699</v>
      </c>
      <c r="E84" t="s">
        <v>451</v>
      </c>
      <c r="F84">
        <v>150000</v>
      </c>
      <c r="H84">
        <v>45759</v>
      </c>
      <c r="J84">
        <v>1</v>
      </c>
      <c r="K84" t="s">
        <v>449</v>
      </c>
      <c r="L84" t="s">
        <v>1700</v>
      </c>
      <c r="M84">
        <v>45759</v>
      </c>
    </row>
    <row r="85" spans="1:13">
      <c r="A85">
        <v>81</v>
      </c>
      <c r="B85" t="s">
        <v>126</v>
      </c>
      <c r="C85" t="s">
        <v>1701</v>
      </c>
      <c r="E85" t="s">
        <v>409</v>
      </c>
      <c r="F85">
        <v>30000</v>
      </c>
      <c r="H85">
        <v>45759</v>
      </c>
      <c r="J85">
        <v>1</v>
      </c>
      <c r="K85" t="s">
        <v>449</v>
      </c>
      <c r="L85" t="s">
        <v>1702</v>
      </c>
      <c r="M85">
        <v>45759</v>
      </c>
    </row>
    <row r="86" spans="1:13">
      <c r="A86">
        <v>82</v>
      </c>
      <c r="B86" t="s">
        <v>126</v>
      </c>
      <c r="C86" t="s">
        <v>1703</v>
      </c>
      <c r="E86" t="s">
        <v>409</v>
      </c>
      <c r="F86">
        <v>35000</v>
      </c>
      <c r="H86">
        <v>45759</v>
      </c>
      <c r="J86">
        <v>1</v>
      </c>
      <c r="K86" t="s">
        <v>449</v>
      </c>
      <c r="L86" t="s">
        <v>1704</v>
      </c>
      <c r="M86">
        <v>45759</v>
      </c>
    </row>
    <row r="87" spans="1:13">
      <c r="A87">
        <v>83</v>
      </c>
      <c r="B87" t="s">
        <v>126</v>
      </c>
      <c r="C87" t="s">
        <v>1705</v>
      </c>
      <c r="E87" t="s">
        <v>457</v>
      </c>
      <c r="F87">
        <v>11200</v>
      </c>
      <c r="H87">
        <v>45759</v>
      </c>
      <c r="J87">
        <v>1</v>
      </c>
      <c r="K87" t="s">
        <v>449</v>
      </c>
      <c r="L87" t="s">
        <v>1706</v>
      </c>
      <c r="M87">
        <v>45759</v>
      </c>
    </row>
    <row r="88" spans="1:13">
      <c r="A88">
        <v>84</v>
      </c>
      <c r="B88" t="s">
        <v>126</v>
      </c>
      <c r="C88" t="s">
        <v>493</v>
      </c>
      <c r="E88" t="s">
        <v>409</v>
      </c>
      <c r="F88">
        <v>24000</v>
      </c>
      <c r="H88">
        <v>45759</v>
      </c>
      <c r="J88">
        <v>1</v>
      </c>
      <c r="K88" t="s">
        <v>449</v>
      </c>
      <c r="L88" t="s">
        <v>1707</v>
      </c>
      <c r="M88">
        <v>45759</v>
      </c>
    </row>
    <row r="89" spans="1:13">
      <c r="A89">
        <v>85</v>
      </c>
      <c r="B89" t="s">
        <v>126</v>
      </c>
      <c r="C89" t="s">
        <v>452</v>
      </c>
      <c r="D89" t="s">
        <v>1708</v>
      </c>
      <c r="E89" t="s">
        <v>457</v>
      </c>
      <c r="F89">
        <v>100000</v>
      </c>
      <c r="H89">
        <v>45759</v>
      </c>
      <c r="J89">
        <v>1</v>
      </c>
      <c r="K89" t="s">
        <v>449</v>
      </c>
      <c r="L89" t="s">
        <v>1709</v>
      </c>
      <c r="M89">
        <v>45759</v>
      </c>
    </row>
    <row r="90" spans="1:13">
      <c r="A90">
        <v>86</v>
      </c>
      <c r="B90" t="s">
        <v>774</v>
      </c>
      <c r="C90" t="s">
        <v>1710</v>
      </c>
      <c r="E90" t="s">
        <v>455</v>
      </c>
      <c r="F90">
        <v>26500</v>
      </c>
      <c r="H90">
        <v>45759</v>
      </c>
      <c r="J90">
        <v>1</v>
      </c>
      <c r="K90" t="s">
        <v>449</v>
      </c>
      <c r="L90" t="s">
        <v>1711</v>
      </c>
      <c r="M90">
        <v>45759</v>
      </c>
    </row>
    <row r="91" spans="1:13">
      <c r="A91">
        <v>87</v>
      </c>
      <c r="B91" t="s">
        <v>774</v>
      </c>
      <c r="C91" t="s">
        <v>1712</v>
      </c>
      <c r="E91" t="s">
        <v>455</v>
      </c>
      <c r="F91">
        <v>26500</v>
      </c>
      <c r="H91">
        <v>45759</v>
      </c>
      <c r="J91">
        <v>1</v>
      </c>
      <c r="K91" t="s">
        <v>449</v>
      </c>
      <c r="L91" t="s">
        <v>1713</v>
      </c>
      <c r="M91">
        <v>45759</v>
      </c>
    </row>
    <row r="92" spans="1:13">
      <c r="A92">
        <v>88</v>
      </c>
      <c r="B92" t="s">
        <v>774</v>
      </c>
      <c r="C92" t="s">
        <v>1714</v>
      </c>
      <c r="E92" t="s">
        <v>455</v>
      </c>
      <c r="F92">
        <v>26500</v>
      </c>
      <c r="H92">
        <v>45759</v>
      </c>
      <c r="J92">
        <v>1</v>
      </c>
      <c r="K92" t="s">
        <v>449</v>
      </c>
      <c r="L92" t="s">
        <v>1715</v>
      </c>
      <c r="M92">
        <v>45759</v>
      </c>
    </row>
    <row r="93" spans="1:13">
      <c r="A93">
        <v>89</v>
      </c>
      <c r="B93" t="s">
        <v>774</v>
      </c>
      <c r="C93" t="s">
        <v>1716</v>
      </c>
      <c r="E93" t="s">
        <v>451</v>
      </c>
      <c r="F93">
        <v>2500</v>
      </c>
      <c r="H93">
        <v>45759</v>
      </c>
      <c r="J93">
        <v>1</v>
      </c>
      <c r="K93" t="s">
        <v>449</v>
      </c>
      <c r="L93" t="s">
        <v>1717</v>
      </c>
      <c r="M93">
        <v>45759</v>
      </c>
    </row>
    <row r="94" spans="1:13">
      <c r="A94">
        <v>90</v>
      </c>
      <c r="B94" t="s">
        <v>774</v>
      </c>
      <c r="C94" t="s">
        <v>1718</v>
      </c>
      <c r="E94" t="s">
        <v>455</v>
      </c>
      <c r="F94">
        <v>26500</v>
      </c>
      <c r="H94">
        <v>45759</v>
      </c>
      <c r="J94">
        <v>1</v>
      </c>
      <c r="K94" t="s">
        <v>449</v>
      </c>
      <c r="L94" t="s">
        <v>1719</v>
      </c>
      <c r="M94">
        <v>45759</v>
      </c>
    </row>
    <row r="95" spans="1:13">
      <c r="A95">
        <v>91</v>
      </c>
      <c r="B95" t="s">
        <v>433</v>
      </c>
      <c r="C95" t="s">
        <v>1720</v>
      </c>
      <c r="D95" t="s">
        <v>1721</v>
      </c>
      <c r="E95" t="s">
        <v>409</v>
      </c>
      <c r="F95">
        <v>30000</v>
      </c>
      <c r="H95">
        <v>45759</v>
      </c>
      <c r="J95">
        <v>1</v>
      </c>
      <c r="K95" t="s">
        <v>449</v>
      </c>
      <c r="L95" t="s">
        <v>1722</v>
      </c>
      <c r="M95">
        <v>45759</v>
      </c>
    </row>
    <row r="96" spans="1:13">
      <c r="A96">
        <v>92</v>
      </c>
      <c r="B96" t="s">
        <v>433</v>
      </c>
      <c r="C96" t="s">
        <v>1723</v>
      </c>
      <c r="E96" t="s">
        <v>457</v>
      </c>
      <c r="F96">
        <v>65000</v>
      </c>
      <c r="H96">
        <v>45759</v>
      </c>
      <c r="J96">
        <v>1</v>
      </c>
      <c r="K96" t="s">
        <v>449</v>
      </c>
      <c r="L96" t="s">
        <v>1724</v>
      </c>
      <c r="M96">
        <v>45759</v>
      </c>
    </row>
    <row r="97" spans="1:13">
      <c r="A97">
        <v>93</v>
      </c>
      <c r="B97" t="s">
        <v>433</v>
      </c>
      <c r="C97" t="s">
        <v>1725</v>
      </c>
      <c r="E97" t="s">
        <v>457</v>
      </c>
      <c r="F97">
        <v>15000</v>
      </c>
      <c r="H97">
        <v>45759</v>
      </c>
      <c r="J97">
        <v>1</v>
      </c>
      <c r="K97" t="s">
        <v>449</v>
      </c>
      <c r="L97" t="s">
        <v>1726</v>
      </c>
      <c r="M97">
        <v>45759</v>
      </c>
    </row>
    <row r="98" spans="1:13">
      <c r="A98">
        <v>94</v>
      </c>
      <c r="B98" t="s">
        <v>433</v>
      </c>
      <c r="C98" t="s">
        <v>473</v>
      </c>
      <c r="E98" t="s">
        <v>457</v>
      </c>
      <c r="F98">
        <v>8500</v>
      </c>
      <c r="H98">
        <v>45759</v>
      </c>
      <c r="J98">
        <v>1</v>
      </c>
      <c r="K98" t="s">
        <v>449</v>
      </c>
      <c r="L98" t="s">
        <v>1727</v>
      </c>
      <c r="M98">
        <v>45759</v>
      </c>
    </row>
    <row r="99" spans="1:13">
      <c r="A99">
        <v>95</v>
      </c>
      <c r="B99" t="s">
        <v>433</v>
      </c>
      <c r="C99" t="s">
        <v>1728</v>
      </c>
      <c r="D99" t="s">
        <v>488</v>
      </c>
      <c r="E99" t="s">
        <v>457</v>
      </c>
      <c r="F99">
        <v>55000</v>
      </c>
      <c r="H99">
        <v>45759</v>
      </c>
      <c r="J99">
        <v>1</v>
      </c>
      <c r="K99" t="s">
        <v>449</v>
      </c>
      <c r="L99" t="s">
        <v>1729</v>
      </c>
      <c r="M99">
        <v>45759</v>
      </c>
    </row>
    <row r="100" spans="1:13">
      <c r="A100">
        <v>96</v>
      </c>
      <c r="B100" t="s">
        <v>433</v>
      </c>
      <c r="C100" t="s">
        <v>1730</v>
      </c>
      <c r="D100" t="s">
        <v>1731</v>
      </c>
      <c r="E100" t="s">
        <v>457</v>
      </c>
      <c r="F100">
        <v>100000</v>
      </c>
      <c r="H100">
        <v>45759</v>
      </c>
      <c r="J100">
        <v>1</v>
      </c>
      <c r="K100" t="s">
        <v>449</v>
      </c>
      <c r="L100" t="s">
        <v>1732</v>
      </c>
      <c r="M100">
        <v>45759</v>
      </c>
    </row>
    <row r="101" spans="1:13">
      <c r="A101">
        <v>97</v>
      </c>
      <c r="B101" t="s">
        <v>435</v>
      </c>
      <c r="C101" t="s">
        <v>1733</v>
      </c>
      <c r="D101" t="s">
        <v>488</v>
      </c>
      <c r="E101" t="s">
        <v>457</v>
      </c>
      <c r="F101">
        <v>65000</v>
      </c>
      <c r="H101">
        <v>45759</v>
      </c>
      <c r="J101">
        <v>1</v>
      </c>
      <c r="K101" t="s">
        <v>449</v>
      </c>
      <c r="L101" t="s">
        <v>1734</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1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945</v>
      </c>
      <c r="C5" s="311" t="s">
        <v>946</v>
      </c>
      <c r="D5" s="336" t="s">
        <v>947</v>
      </c>
      <c r="E5" s="311" t="s">
        <v>948</v>
      </c>
      <c r="F5" s="311" t="s">
        <v>949</v>
      </c>
      <c r="G5" s="311" t="s">
        <v>950</v>
      </c>
      <c r="H5" s="311" t="s">
        <v>951</v>
      </c>
      <c r="I5" s="311" t="s">
        <v>952</v>
      </c>
      <c r="J5" s="309" t="s">
        <v>953</v>
      </c>
    </row>
    <row r="6" spans="1:10">
      <c r="A6" s="294">
        <v>2</v>
      </c>
      <c r="B6" s="295" t="s">
        <v>954</v>
      </c>
      <c r="C6" s="295" t="s">
        <v>955</v>
      </c>
      <c r="D6" s="337" t="s">
        <v>956</v>
      </c>
      <c r="E6" s="295" t="s">
        <v>957</v>
      </c>
      <c r="F6" s="295" t="s">
        <v>958</v>
      </c>
      <c r="G6" s="295" t="s">
        <v>959</v>
      </c>
      <c r="H6" s="295" t="s">
        <v>960</v>
      </c>
      <c r="I6" s="295" t="s">
        <v>952</v>
      </c>
      <c r="J6" s="295" t="s">
        <v>961</v>
      </c>
    </row>
    <row r="7" spans="1:10">
      <c r="A7" s="310">
        <v>3</v>
      </c>
      <c r="B7" s="311" t="s">
        <v>962</v>
      </c>
      <c r="C7" s="311" t="s">
        <v>963</v>
      </c>
      <c r="D7" s="336" t="s">
        <v>964</v>
      </c>
      <c r="E7" s="311" t="s">
        <v>965</v>
      </c>
      <c r="F7" s="311" t="s">
        <v>966</v>
      </c>
      <c r="G7" s="311" t="s">
        <v>967</v>
      </c>
      <c r="H7" s="311" t="s">
        <v>968</v>
      </c>
      <c r="I7" s="311" t="s">
        <v>969</v>
      </c>
      <c r="J7" s="309" t="s">
        <v>970</v>
      </c>
    </row>
    <row r="8" spans="1:10">
      <c r="A8" s="294">
        <v>4</v>
      </c>
      <c r="B8" s="295" t="s">
        <v>971</v>
      </c>
      <c r="C8" s="295" t="s">
        <v>972</v>
      </c>
      <c r="D8" s="337" t="s">
        <v>973</v>
      </c>
      <c r="E8" s="295" t="s">
        <v>974</v>
      </c>
      <c r="F8" s="295" t="s">
        <v>975</v>
      </c>
      <c r="G8" s="295" t="s">
        <v>976</v>
      </c>
      <c r="H8" s="295" t="s">
        <v>977</v>
      </c>
      <c r="I8" s="295" t="s">
        <v>952</v>
      </c>
      <c r="J8" s="295" t="s">
        <v>978</v>
      </c>
    </row>
    <row r="9" spans="1:10">
      <c r="A9" s="310">
        <v>5</v>
      </c>
      <c r="B9" s="311" t="s">
        <v>979</v>
      </c>
      <c r="C9" s="311" t="s">
        <v>980</v>
      </c>
      <c r="D9" s="336" t="s">
        <v>981</v>
      </c>
      <c r="E9" s="311" t="s">
        <v>982</v>
      </c>
      <c r="F9" s="311" t="s">
        <v>983</v>
      </c>
      <c r="G9" s="311" t="s">
        <v>984</v>
      </c>
      <c r="H9" s="311" t="s">
        <v>985</v>
      </c>
      <c r="I9" s="311" t="s">
        <v>969</v>
      </c>
      <c r="J9" s="309" t="s">
        <v>986</v>
      </c>
    </row>
    <row r="10" spans="1:10">
      <c r="A10" s="294">
        <v>6</v>
      </c>
      <c r="B10" s="295"/>
      <c r="C10" s="295"/>
      <c r="D10" s="337"/>
      <c r="E10" s="295"/>
      <c r="F10" s="295"/>
      <c r="G10" s="295"/>
      <c r="H10" s="295"/>
      <c r="I10" s="295"/>
    </row>
    <row r="11" spans="1:10">
      <c r="A11" s="310">
        <v>7</v>
      </c>
      <c r="B11" s="311"/>
      <c r="C11" s="311"/>
      <c r="D11" s="336"/>
      <c r="E11" s="311"/>
      <c r="F11" s="311"/>
      <c r="G11" s="311"/>
      <c r="H11" s="311"/>
      <c r="I11" s="311"/>
      <c r="J11" s="309"/>
    </row>
    <row r="12" spans="1:10">
      <c r="A12" s="294">
        <v>8</v>
      </c>
      <c r="B12" s="295"/>
      <c r="C12" s="295"/>
      <c r="D12" s="337"/>
      <c r="E12" s="295"/>
      <c r="F12" s="295"/>
      <c r="G12" s="295"/>
      <c r="H12" s="295"/>
      <c r="I12" s="295"/>
    </row>
    <row r="13" spans="1:10">
      <c r="A13" s="310">
        <v>9</v>
      </c>
      <c r="B13" s="311"/>
      <c r="C13" s="311"/>
      <c r="D13" s="336"/>
      <c r="E13" s="311"/>
      <c r="F13" s="311"/>
      <c r="G13" s="311"/>
      <c r="H13" s="311"/>
      <c r="I13" s="311"/>
      <c r="J13" s="309"/>
    </row>
    <row r="14" spans="1:10">
      <c r="A14" s="294">
        <v>10</v>
      </c>
      <c r="B14" s="295"/>
      <c r="C14" s="295"/>
      <c r="D14" s="337"/>
      <c r="E14" s="295"/>
      <c r="F14" s="295"/>
      <c r="G14" s="295"/>
      <c r="H14" s="295"/>
      <c r="I14" s="295"/>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topLeftCell="A59"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781</v>
      </c>
    </row>
    <row r="6" spans="1:6">
      <c r="A6" s="290" t="s">
        <v>319</v>
      </c>
      <c r="B6" t="s">
        <v>782</v>
      </c>
    </row>
    <row r="7" spans="1:6">
      <c r="A7" s="291" t="s">
        <v>320</v>
      </c>
      <c r="B7" s="292" t="s">
        <v>783</v>
      </c>
    </row>
    <row r="9" spans="1:6" ht="16">
      <c r="A9" s="289" t="s">
        <v>784</v>
      </c>
    </row>
    <row r="11" spans="1:6">
      <c r="A11" s="293" t="s">
        <v>785</v>
      </c>
      <c r="B11" s="286" t="s">
        <v>786</v>
      </c>
      <c r="C11" s="286" t="s">
        <v>787</v>
      </c>
      <c r="D11" s="286" t="s">
        <v>788</v>
      </c>
      <c r="E11" s="286" t="s">
        <v>324</v>
      </c>
      <c r="F11" s="286" t="s">
        <v>164</v>
      </c>
    </row>
    <row r="12" spans="1:6">
      <c r="A12" s="294">
        <v>1</v>
      </c>
      <c r="B12" t="s">
        <v>789</v>
      </c>
      <c r="C12" t="s">
        <v>790</v>
      </c>
      <c r="D12" s="295" t="s">
        <v>791</v>
      </c>
      <c r="E12" t="s">
        <v>326</v>
      </c>
      <c r="F12" t="s">
        <v>327</v>
      </c>
    </row>
    <row r="13" spans="1:6">
      <c r="A13" s="294">
        <v>2</v>
      </c>
      <c r="B13" t="s">
        <v>792</v>
      </c>
      <c r="C13" t="s">
        <v>793</v>
      </c>
      <c r="D13" s="296" t="s">
        <v>791</v>
      </c>
      <c r="E13" t="s">
        <v>326</v>
      </c>
      <c r="F13" t="s">
        <v>328</v>
      </c>
    </row>
    <row r="14" spans="1:6">
      <c r="A14" s="294">
        <v>3</v>
      </c>
      <c r="B14" t="s">
        <v>794</v>
      </c>
      <c r="C14" t="s">
        <v>795</v>
      </c>
      <c r="D14" s="296" t="s">
        <v>791</v>
      </c>
      <c r="E14" t="s">
        <v>326</v>
      </c>
      <c r="F14" t="s">
        <v>329</v>
      </c>
    </row>
    <row r="15" spans="1:6">
      <c r="A15" s="294">
        <v>4</v>
      </c>
      <c r="B15" t="s">
        <v>796</v>
      </c>
      <c r="C15" t="s">
        <v>797</v>
      </c>
      <c r="D15" s="297" t="s">
        <v>791</v>
      </c>
      <c r="E15" t="s">
        <v>330</v>
      </c>
      <c r="F15" t="s">
        <v>331</v>
      </c>
    </row>
    <row r="16" spans="1:6">
      <c r="A16" s="294">
        <v>5</v>
      </c>
      <c r="B16" t="s">
        <v>798</v>
      </c>
      <c r="C16" t="s">
        <v>799</v>
      </c>
      <c r="D16" s="295" t="s">
        <v>791</v>
      </c>
      <c r="E16" t="s">
        <v>330</v>
      </c>
      <c r="F16" t="s">
        <v>332</v>
      </c>
    </row>
    <row r="17" spans="1:6">
      <c r="A17" s="294">
        <v>6</v>
      </c>
      <c r="B17" t="s">
        <v>800</v>
      </c>
      <c r="C17" t="s">
        <v>801</v>
      </c>
      <c r="D17" s="298" t="s">
        <v>791</v>
      </c>
      <c r="E17" t="s">
        <v>330</v>
      </c>
      <c r="F17" t="s">
        <v>334</v>
      </c>
    </row>
    <row r="18" spans="1:6">
      <c r="A18" s="294">
        <v>7</v>
      </c>
      <c r="B18" t="s">
        <v>802</v>
      </c>
      <c r="C18" t="s">
        <v>803</v>
      </c>
      <c r="D18" t="s">
        <v>804</v>
      </c>
      <c r="E18" t="s">
        <v>330</v>
      </c>
      <c r="F18" t="s">
        <v>335</v>
      </c>
    </row>
    <row r="20" spans="1:6" ht="16">
      <c r="A20" s="289" t="s">
        <v>336</v>
      </c>
    </row>
    <row r="22" spans="1:6">
      <c r="A22" s="299" t="s">
        <v>805</v>
      </c>
    </row>
    <row r="23" spans="1:6">
      <c r="A23" s="300" t="s">
        <v>806</v>
      </c>
      <c r="B23" s="300" t="s">
        <v>807</v>
      </c>
      <c r="C23" s="300" t="s">
        <v>808</v>
      </c>
    </row>
    <row r="24" spans="1:6">
      <c r="A24" t="s">
        <v>809</v>
      </c>
      <c r="B24" t="s">
        <v>810</v>
      </c>
      <c r="C24" t="s">
        <v>811</v>
      </c>
    </row>
    <row r="25" spans="1:6">
      <c r="A25" t="s">
        <v>812</v>
      </c>
      <c r="B25" t="s">
        <v>813</v>
      </c>
      <c r="C25" t="s">
        <v>814</v>
      </c>
    </row>
    <row r="26" spans="1:6">
      <c r="A26" t="s">
        <v>815</v>
      </c>
      <c r="B26" t="s">
        <v>816</v>
      </c>
      <c r="C26" t="s">
        <v>817</v>
      </c>
    </row>
    <row r="28" spans="1:6">
      <c r="A28" t="s">
        <v>818</v>
      </c>
    </row>
    <row r="29" spans="1:6">
      <c r="A29" t="s">
        <v>819</v>
      </c>
      <c r="B29" t="s">
        <v>820</v>
      </c>
      <c r="C29" t="e" cm="1">
        <f t="array" ref="C29">ROUND(F/(1-粗利率),0)</f>
        <v>#NAME?</v>
      </c>
    </row>
    <row r="30" spans="1:6">
      <c r="A30" t="s">
        <v>821</v>
      </c>
      <c r="B30" t="s">
        <v>822</v>
      </c>
      <c r="C30" t="s">
        <v>823</v>
      </c>
    </row>
    <row r="31" spans="1:6">
      <c r="A31" t="s">
        <v>824</v>
      </c>
      <c r="B31" t="s">
        <v>825</v>
      </c>
      <c r="C31" t="s">
        <v>826</v>
      </c>
    </row>
    <row r="33" spans="1:4">
      <c r="A33" s="299" t="s">
        <v>827</v>
      </c>
    </row>
    <row r="34" spans="1:4">
      <c r="A34" s="300" t="s">
        <v>828</v>
      </c>
      <c r="B34" s="300" t="s">
        <v>829</v>
      </c>
      <c r="C34" s="300" t="s">
        <v>830</v>
      </c>
      <c r="D34" s="300" t="s">
        <v>831</v>
      </c>
    </row>
    <row r="35" spans="1:4">
      <c r="A35" t="s">
        <v>832</v>
      </c>
      <c r="B35" t="s">
        <v>833</v>
      </c>
      <c r="C35" t="s">
        <v>834</v>
      </c>
      <c r="D35" t="s">
        <v>835</v>
      </c>
    </row>
    <row r="36" spans="1:4">
      <c r="A36" t="s">
        <v>836</v>
      </c>
      <c r="B36" t="s">
        <v>833</v>
      </c>
      <c r="C36" t="s">
        <v>837</v>
      </c>
      <c r="D36" t="s">
        <v>838</v>
      </c>
    </row>
    <row r="37" spans="1:4">
      <c r="A37" t="s">
        <v>839</v>
      </c>
      <c r="B37" t="s">
        <v>840</v>
      </c>
      <c r="C37" t="s">
        <v>841</v>
      </c>
      <c r="D37" t="s">
        <v>842</v>
      </c>
    </row>
    <row r="38" spans="1:4">
      <c r="A38" t="s">
        <v>794</v>
      </c>
      <c r="B38" t="s">
        <v>840</v>
      </c>
      <c r="C38" t="s">
        <v>843</v>
      </c>
      <c r="D38" t="s">
        <v>844</v>
      </c>
    </row>
    <row r="40" spans="1:4">
      <c r="A40" t="s">
        <v>845</v>
      </c>
    </row>
    <row r="41" spans="1:4">
      <c r="A41" t="s">
        <v>846</v>
      </c>
      <c r="B41" t="s">
        <v>847</v>
      </c>
      <c r="D41" s="287"/>
    </row>
    <row r="42" spans="1:4">
      <c r="A42" t="s">
        <v>848</v>
      </c>
      <c r="B42" t="s">
        <v>849</v>
      </c>
    </row>
    <row r="44" spans="1:4">
      <c r="A44" s="299" t="s">
        <v>850</v>
      </c>
    </row>
    <row r="45" spans="1:4">
      <c r="A45" t="s">
        <v>358</v>
      </c>
      <c r="B45" t="s">
        <v>359</v>
      </c>
      <c r="C45" t="s">
        <v>360</v>
      </c>
      <c r="D45" t="s">
        <v>851</v>
      </c>
    </row>
    <row r="46" spans="1:4">
      <c r="A46" s="301" t="s">
        <v>361</v>
      </c>
      <c r="B46" s="300" t="s">
        <v>852</v>
      </c>
      <c r="C46" s="300" t="s">
        <v>853</v>
      </c>
      <c r="D46" s="300" t="s">
        <v>854</v>
      </c>
    </row>
    <row r="47" spans="1:4">
      <c r="A47" s="294" t="s">
        <v>362</v>
      </c>
      <c r="B47" t="s">
        <v>855</v>
      </c>
      <c r="C47" t="s">
        <v>856</v>
      </c>
      <c r="D47" t="s">
        <v>854</v>
      </c>
    </row>
    <row r="48" spans="1:4">
      <c r="A48" s="294" t="s">
        <v>363</v>
      </c>
      <c r="B48" t="s">
        <v>857</v>
      </c>
      <c r="C48" t="s">
        <v>858</v>
      </c>
      <c r="D48" t="s">
        <v>854</v>
      </c>
    </row>
    <row r="49" spans="1:8">
      <c r="A49" s="294" t="s">
        <v>364</v>
      </c>
      <c r="B49" t="s">
        <v>859</v>
      </c>
      <c r="C49" t="s">
        <v>860</v>
      </c>
      <c r="D49" t="s">
        <v>854</v>
      </c>
    </row>
    <row r="50" spans="1:8">
      <c r="A50" s="294" t="s">
        <v>365</v>
      </c>
      <c r="B50" t="s">
        <v>861</v>
      </c>
      <c r="C50" t="s">
        <v>862</v>
      </c>
      <c r="D50" t="s">
        <v>854</v>
      </c>
    </row>
    <row r="51" spans="1:8">
      <c r="A51" s="294" t="s">
        <v>366</v>
      </c>
      <c r="B51" t="s">
        <v>863</v>
      </c>
      <c r="C51" t="s">
        <v>864</v>
      </c>
      <c r="D51" t="s">
        <v>854</v>
      </c>
    </row>
    <row r="52" spans="1:8">
      <c r="A52" s="294" t="s">
        <v>367</v>
      </c>
      <c r="B52" t="s">
        <v>865</v>
      </c>
      <c r="C52" t="s">
        <v>866</v>
      </c>
      <c r="D52" t="s">
        <v>932</v>
      </c>
    </row>
    <row r="53" spans="1:8">
      <c r="A53" s="294" t="s">
        <v>367</v>
      </c>
      <c r="B53" t="s">
        <v>368</v>
      </c>
      <c r="C53" t="s">
        <v>369</v>
      </c>
      <c r="D53" t="s">
        <v>370</v>
      </c>
    </row>
    <row r="55" spans="1:8" ht="16">
      <c r="A55" s="302" t="s">
        <v>867</v>
      </c>
    </row>
    <row r="57" spans="1:8">
      <c r="A57" s="293" t="s">
        <v>371</v>
      </c>
      <c r="B57" s="286" t="s">
        <v>337</v>
      </c>
      <c r="C57" s="286" t="s">
        <v>372</v>
      </c>
      <c r="D57" s="286" t="s">
        <v>533</v>
      </c>
    </row>
    <row r="58" spans="1:8">
      <c r="A58" s="303" t="s">
        <v>373</v>
      </c>
      <c r="B58" t="s">
        <v>374</v>
      </c>
      <c r="C58" t="s">
        <v>868</v>
      </c>
      <c r="D58" t="s">
        <v>535</v>
      </c>
    </row>
    <row r="59" spans="1:8">
      <c r="A59" s="303" t="s">
        <v>375</v>
      </c>
      <c r="B59" t="s">
        <v>536</v>
      </c>
      <c r="C59" t="s">
        <v>869</v>
      </c>
      <c r="D59" t="s">
        <v>535</v>
      </c>
    </row>
    <row r="60" spans="1:8">
      <c r="A60" s="303" t="s">
        <v>376</v>
      </c>
      <c r="B60" t="s">
        <v>870</v>
      </c>
      <c r="C60" t="s">
        <v>871</v>
      </c>
      <c r="D60" t="s">
        <v>535</v>
      </c>
    </row>
    <row r="61" spans="1:8">
      <c r="A61" s="303" t="s">
        <v>377</v>
      </c>
      <c r="B61" t="s">
        <v>872</v>
      </c>
      <c r="C61" t="s">
        <v>873</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874</v>
      </c>
    </row>
    <row r="65" spans="1:4" ht="17">
      <c r="A65" s="338" t="s">
        <v>505</v>
      </c>
      <c r="B65" s="339"/>
      <c r="C65" s="339"/>
      <c r="D65" s="339"/>
    </row>
    <row r="66" spans="1:4">
      <c r="A66" s="340" t="s">
        <v>505</v>
      </c>
    </row>
    <row r="67" spans="1:4">
      <c r="A67" t="s">
        <v>875</v>
      </c>
    </row>
    <row r="68" spans="1:4" ht="15">
      <c r="A68" s="342" t="s">
        <v>321</v>
      </c>
      <c r="B68" s="343" t="s">
        <v>322</v>
      </c>
      <c r="C68" s="343" t="s">
        <v>323</v>
      </c>
      <c r="D68" s="343" t="s">
        <v>506</v>
      </c>
    </row>
    <row r="69" spans="1:4">
      <c r="A69" s="345">
        <v>1</v>
      </c>
      <c r="B69" s="344" t="s">
        <v>507</v>
      </c>
      <c r="C69" s="344" t="s">
        <v>876</v>
      </c>
      <c r="D69" s="344" t="s">
        <v>877</v>
      </c>
    </row>
    <row r="70" spans="1:4">
      <c r="A70" s="294">
        <v>2</v>
      </c>
      <c r="B70" t="s">
        <v>508</v>
      </c>
      <c r="C70" t="s">
        <v>878</v>
      </c>
      <c r="D70" t="s">
        <v>879</v>
      </c>
    </row>
    <row r="71" spans="1:4">
      <c r="A71" s="294">
        <v>3</v>
      </c>
      <c r="B71" t="s">
        <v>509</v>
      </c>
      <c r="C71" t="s">
        <v>510</v>
      </c>
      <c r="D71" t="s">
        <v>880</v>
      </c>
    </row>
    <row r="72" spans="1:4">
      <c r="A72" s="294">
        <v>3</v>
      </c>
      <c r="B72" t="s">
        <v>509</v>
      </c>
      <c r="C72" t="s">
        <v>510</v>
      </c>
      <c r="D72" t="s">
        <v>511</v>
      </c>
    </row>
    <row r="74" spans="1:4" ht="15">
      <c r="A74" s="342" t="s">
        <v>881</v>
      </c>
      <c r="B74" s="343"/>
      <c r="C74" s="343"/>
      <c r="D74" s="343"/>
    </row>
    <row r="75" spans="1:4">
      <c r="A75" s="346" t="s">
        <v>512</v>
      </c>
      <c r="B75" s="347" t="s">
        <v>513</v>
      </c>
      <c r="C75" s="347" t="s">
        <v>882</v>
      </c>
      <c r="D75" t="s">
        <v>854</v>
      </c>
    </row>
    <row r="76" spans="1:4">
      <c r="A76" s="348" t="s">
        <v>514</v>
      </c>
      <c r="B76" s="349" t="s">
        <v>515</v>
      </c>
      <c r="C76" s="349" t="s">
        <v>516</v>
      </c>
      <c r="D76" t="s">
        <v>854</v>
      </c>
    </row>
    <row r="77" spans="1:4">
      <c r="A77" s="350" t="s">
        <v>517</v>
      </c>
      <c r="B77" s="351" t="s">
        <v>518</v>
      </c>
      <c r="C77" s="350" t="s">
        <v>883</v>
      </c>
      <c r="D77" t="s">
        <v>854</v>
      </c>
    </row>
    <row r="78" spans="1:4">
      <c r="A78" s="352" t="s">
        <v>519</v>
      </c>
      <c r="B78" s="353" t="s">
        <v>520</v>
      </c>
      <c r="C78" s="353" t="s">
        <v>521</v>
      </c>
      <c r="D78" t="s">
        <v>854</v>
      </c>
    </row>
    <row r="79" spans="1:4">
      <c r="A79" s="354" t="s">
        <v>522</v>
      </c>
      <c r="B79" s="355" t="s">
        <v>523</v>
      </c>
      <c r="C79" s="355" t="s">
        <v>884</v>
      </c>
      <c r="D79" t="s">
        <v>854</v>
      </c>
    </row>
    <row r="80" spans="1:4">
      <c r="A80" s="356" t="s">
        <v>524</v>
      </c>
      <c r="B80" s="357" t="s">
        <v>525</v>
      </c>
      <c r="C80" s="357" t="s">
        <v>526</v>
      </c>
      <c r="D80" t="s">
        <v>854</v>
      </c>
    </row>
    <row r="81" spans="1:4">
      <c r="A81" s="358" t="s">
        <v>527</v>
      </c>
      <c r="B81" s="359" t="s">
        <v>528</v>
      </c>
      <c r="C81" s="359" t="s">
        <v>529</v>
      </c>
      <c r="D81" t="s">
        <v>854</v>
      </c>
    </row>
    <row r="83" spans="1:4" ht="15">
      <c r="A83" s="342" t="s">
        <v>885</v>
      </c>
      <c r="B83" s="343"/>
      <c r="C83" s="343"/>
      <c r="D83" s="343"/>
    </row>
    <row r="84" spans="1:4">
      <c r="A84" s="360" t="s">
        <v>530</v>
      </c>
      <c r="B84" t="s">
        <v>886</v>
      </c>
    </row>
    <row r="85" spans="1:4">
      <c r="A85" s="361" t="s">
        <v>531</v>
      </c>
      <c r="B85" t="s">
        <v>532</v>
      </c>
    </row>
    <row r="87" spans="1:4" ht="17">
      <c r="A87" s="362" t="s">
        <v>887</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870</v>
      </c>
      <c r="C91" s="370" t="s">
        <v>888</v>
      </c>
      <c r="D91" s="371" t="s">
        <v>535</v>
      </c>
    </row>
    <row r="92" spans="1:4">
      <c r="A92" s="303" t="s">
        <v>377</v>
      </c>
      <c r="B92" s="370" t="s">
        <v>872</v>
      </c>
      <c r="C92" s="370" t="s">
        <v>889</v>
      </c>
      <c r="D92" s="371" t="s">
        <v>535</v>
      </c>
    </row>
    <row r="93" spans="1:4">
      <c r="A93" s="303" t="s">
        <v>538</v>
      </c>
      <c r="B93" s="370" t="s">
        <v>539</v>
      </c>
      <c r="C93" s="370" t="s">
        <v>890</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7" t="s">
        <v>1349</v>
      </c>
      <c r="J1" s="958" t="s">
        <v>1907</v>
      </c>
    </row>
    <row r="2" spans="1:11" ht="18.75" customHeight="1">
      <c r="I2" s="830" t="s">
        <v>997</v>
      </c>
      <c r="J2" s="834" t="s">
        <v>998</v>
      </c>
    </row>
    <row r="3" spans="1:11" ht="18.75" customHeight="1" thickBot="1">
      <c r="B3" s="40"/>
      <c r="C3" s="40"/>
      <c r="D3" s="40"/>
      <c r="E3" s="40"/>
      <c r="F3" s="40"/>
      <c r="G3" s="41"/>
      <c r="H3" s="41"/>
      <c r="I3" s="830" t="s">
        <v>996</v>
      </c>
      <c r="J3" s="831" t="s">
        <v>601</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9">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32" t="str">
        <f>IFERROR(VLOOKUP($J$3,案件管理!A:D,3,FALSE),"")</f>
        <v>吉野</v>
      </c>
      <c r="D10" s="694"/>
      <c r="E10" s="694"/>
      <c r="F10" s="49" t="str">
        <f>IFERROR(VLOOKUP(VLOOKUP($J$3,案件管理!A:B,2,FALSE),顧客マスタ!A:D,4,FALSE),"様")</f>
        <v>様</v>
      </c>
      <c r="G10" s="40"/>
      <c r="H10" s="695" t="s">
        <v>305</v>
      </c>
      <c r="I10" s="695"/>
      <c r="J10" s="696"/>
    </row>
    <row r="11" spans="1:11" ht="18.75" customHeight="1" thickTop="1">
      <c r="A11" s="45"/>
      <c r="F11" s="49"/>
      <c r="G11" s="40"/>
      <c r="H11" s="695"/>
      <c r="I11" s="695"/>
      <c r="J11" s="696"/>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7"/>
      <c r="D14" s="697"/>
      <c r="E14" s="53" t="s">
        <v>97</v>
      </c>
      <c r="F14" s="55" t="s">
        <v>98</v>
      </c>
      <c r="G14" s="698">
        <f>I61</f>
        <v>1573406</v>
      </c>
      <c r="H14" s="698"/>
      <c r="I14" s="272" t="s">
        <v>167</v>
      </c>
      <c r="J14" s="45"/>
    </row>
    <row r="15" spans="1:11" ht="25.5" customHeight="1" thickTop="1">
      <c r="A15" s="45"/>
      <c r="C15" s="697"/>
      <c r="D15" s="697"/>
      <c r="E15" s="267"/>
      <c r="F15" s="703"/>
      <c r="G15" s="703"/>
      <c r="H15" s="703"/>
      <c r="I15" s="51"/>
      <c r="J15" s="45"/>
    </row>
    <row r="16" spans="1:11" ht="12.75" customHeight="1">
      <c r="A16" s="45"/>
      <c r="E16" s="269"/>
      <c r="F16" s="704"/>
      <c r="G16" s="702"/>
      <c r="H16" s="702"/>
      <c r="J16" s="45"/>
    </row>
    <row r="17" spans="1:10" ht="18.75" customHeight="1">
      <c r="A17" s="45"/>
      <c r="E17" s="271"/>
      <c r="F17" s="705"/>
      <c r="G17" s="702"/>
      <c r="H17" s="702"/>
      <c r="J17" s="45"/>
    </row>
    <row r="18" spans="1:10" ht="18.75" customHeight="1">
      <c r="A18" s="45"/>
      <c r="J18" s="45"/>
    </row>
    <row r="19" spans="1:10" ht="18.75" customHeight="1">
      <c r="A19" s="45"/>
      <c r="J19" s="45"/>
    </row>
    <row r="20" spans="1:10" ht="18.75" customHeight="1">
      <c r="A20" s="45"/>
      <c r="B20" s="58"/>
      <c r="C20" s="58" t="s">
        <v>99</v>
      </c>
      <c r="D20" s="833"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3" t="str">
        <f>操作パネル!F8</f>
        <v>東京都港区南麻布</v>
      </c>
      <c r="G22" s="699"/>
      <c r="H22" s="699"/>
      <c r="I22" s="699"/>
      <c r="J22" s="700"/>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701"/>
      <c r="C28" s="702"/>
      <c r="D28" s="702"/>
      <c r="E28" s="702"/>
      <c r="F28" s="702"/>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3"/>
      <c r="N36" s="693"/>
      <c r="O36" s="693"/>
    </row>
    <row r="37" spans="1:15" s="70" customFormat="1" ht="18.5" customHeight="1">
      <c r="A37" s="81">
        <v>2</v>
      </c>
      <c r="B37" s="91" t="s">
        <v>429</v>
      </c>
      <c r="C37" s="92"/>
      <c r="D37" s="92"/>
      <c r="E37" s="84"/>
      <c r="F37" s="85"/>
      <c r="G37" s="86"/>
      <c r="H37" s="93"/>
      <c r="I37" s="88">
        <f>'P-003_吉野様邸キッチン'!B106</f>
        <v>0</v>
      </c>
      <c r="J37" s="89"/>
      <c r="M37" s="693"/>
      <c r="N37" s="693"/>
      <c r="O37" s="693"/>
    </row>
    <row r="38" spans="1:15" s="70" customFormat="1" ht="18.5" customHeight="1">
      <c r="A38" s="81">
        <v>3</v>
      </c>
      <c r="B38" s="273" t="s">
        <v>348</v>
      </c>
      <c r="C38" s="83"/>
      <c r="D38" s="92"/>
      <c r="E38" s="94"/>
      <c r="F38" s="85"/>
      <c r="G38" s="86"/>
      <c r="H38" s="93"/>
      <c r="I38" s="88">
        <f>'P-003_吉野様邸キッチン'!B107</f>
        <v>0</v>
      </c>
      <c r="J38" s="89"/>
      <c r="M38" s="693"/>
      <c r="N38" s="693"/>
      <c r="O38" s="693"/>
    </row>
    <row r="39" spans="1:15" s="70" customFormat="1" ht="18.5" customHeight="1">
      <c r="A39" s="95">
        <v>4</v>
      </c>
      <c r="B39" s="277" t="s">
        <v>126</v>
      </c>
      <c r="C39" s="83"/>
      <c r="D39" s="92"/>
      <c r="E39" s="94"/>
      <c r="F39" s="85"/>
      <c r="G39" s="86"/>
      <c r="H39" s="93"/>
      <c r="I39" s="88">
        <f>'P-003_吉野様邸キッチン'!B108</f>
        <v>680000</v>
      </c>
      <c r="J39" s="89"/>
      <c r="M39" s="693"/>
      <c r="N39" s="693"/>
      <c r="O39" s="693"/>
    </row>
    <row r="40" spans="1:15" s="70" customFormat="1" ht="18.5" customHeight="1">
      <c r="A40" s="95">
        <v>5</v>
      </c>
      <c r="B40" s="96" t="s">
        <v>774</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3"/>
      <c r="N41" s="693"/>
      <c r="O41" s="693"/>
    </row>
    <row r="42" spans="1:15" s="70" customFormat="1" ht="18.5" customHeight="1">
      <c r="A42" s="95">
        <v>7</v>
      </c>
      <c r="B42" s="273" t="s">
        <v>435</v>
      </c>
      <c r="C42" s="83"/>
      <c r="D42" s="92"/>
      <c r="E42" s="97"/>
      <c r="F42" s="85"/>
      <c r="G42" s="86"/>
      <c r="H42" s="98"/>
      <c r="I42" s="88">
        <f>'P-003_吉野様邸キッチン'!B111</f>
        <v>52400</v>
      </c>
      <c r="J42" s="99"/>
      <c r="M42" s="693"/>
      <c r="N42" s="693"/>
      <c r="O42" s="693"/>
    </row>
    <row r="43" spans="1:15" s="70" customFormat="1" ht="18.5" customHeight="1">
      <c r="A43" s="95">
        <v>8</v>
      </c>
      <c r="B43" s="92" t="s">
        <v>436</v>
      </c>
      <c r="C43" s="83"/>
      <c r="D43" s="92"/>
      <c r="E43" s="97"/>
      <c r="F43" s="85"/>
      <c r="G43" s="86"/>
      <c r="H43" s="100"/>
      <c r="I43" s="88">
        <f>'P-003_吉野様邸キッチン'!B112</f>
        <v>160000</v>
      </c>
      <c r="J43" s="99"/>
      <c r="M43" s="706"/>
      <c r="N43" s="707"/>
      <c r="O43" s="707"/>
    </row>
    <row r="44" spans="1:15" s="70" customFormat="1" ht="18.5" customHeight="1">
      <c r="A44" s="95">
        <v>9</v>
      </c>
      <c r="B44" s="92" t="s">
        <v>492</v>
      </c>
      <c r="C44" s="83"/>
      <c r="D44" s="92"/>
      <c r="E44" s="103"/>
      <c r="F44" s="85"/>
      <c r="G44" s="86"/>
      <c r="H44" s="100"/>
      <c r="I44" s="88">
        <f>'P-003_吉野様邸キッチン'!B113</f>
        <v>48000</v>
      </c>
      <c r="J44" s="99"/>
      <c r="M44" s="693"/>
      <c r="N44" s="693"/>
      <c r="O44" s="693"/>
    </row>
    <row r="45" spans="1:15" s="70" customFormat="1" ht="18.5" customHeight="1">
      <c r="A45" s="95">
        <v>10</v>
      </c>
      <c r="B45" s="83" t="s">
        <v>124</v>
      </c>
      <c r="C45" s="92"/>
      <c r="D45" s="92"/>
      <c r="E45" s="103"/>
      <c r="F45" s="85"/>
      <c r="G45" s="86"/>
      <c r="H45" s="100"/>
      <c r="I45" s="88">
        <f>'P-003_吉野様邸キッチン'!B114</f>
        <v>0</v>
      </c>
      <c r="J45" s="99"/>
      <c r="M45" s="693"/>
      <c r="N45" s="693"/>
      <c r="O45" s="693"/>
    </row>
    <row r="46" spans="1:15" s="70" customFormat="1" ht="18.5" customHeight="1">
      <c r="A46" s="95">
        <v>11</v>
      </c>
      <c r="B46" s="83" t="s">
        <v>122</v>
      </c>
      <c r="C46" s="83"/>
      <c r="D46" s="92"/>
      <c r="E46" s="97"/>
      <c r="F46" s="85"/>
      <c r="G46" s="86"/>
      <c r="H46" s="100"/>
      <c r="I46" s="88">
        <f>'P-003_吉野様邸キッチン'!B115</f>
        <v>0</v>
      </c>
      <c r="J46" s="99"/>
      <c r="M46" s="693"/>
      <c r="N46" s="693"/>
      <c r="O46" s="693"/>
    </row>
    <row r="47" spans="1:15" s="70" customFormat="1" ht="18.5" customHeight="1">
      <c r="A47" s="95">
        <v>12</v>
      </c>
      <c r="B47" s="83" t="s">
        <v>431</v>
      </c>
      <c r="C47" s="83"/>
      <c r="D47" s="92"/>
      <c r="E47" s="97"/>
      <c r="F47" s="85"/>
      <c r="G47" s="86"/>
      <c r="H47" s="100"/>
      <c r="I47" s="88">
        <f>'P-003_吉野様邸キッチン'!B116</f>
        <v>0</v>
      </c>
      <c r="J47" s="99"/>
      <c r="K47" s="104">
        <v>0</v>
      </c>
      <c r="L47" s="105"/>
      <c r="M47" s="693"/>
      <c r="N47" s="693"/>
      <c r="O47" s="693"/>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8"/>
      <c r="N53" s="709"/>
      <c r="O53" s="709"/>
    </row>
    <row r="54" spans="1:15" s="70" customFormat="1" ht="18.5" customHeight="1">
      <c r="A54" s="95">
        <v>19</v>
      </c>
      <c r="B54" s="82" t="s">
        <v>428</v>
      </c>
      <c r="C54" s="83"/>
      <c r="D54" s="83"/>
      <c r="E54" s="97"/>
      <c r="F54" s="106"/>
      <c r="G54" s="106"/>
      <c r="H54" s="107"/>
      <c r="I54" s="88">
        <f>'P-003_吉野様邸キッチン'!B123</f>
        <v>0</v>
      </c>
      <c r="J54" s="99"/>
      <c r="K54" s="104"/>
      <c r="M54" s="693"/>
      <c r="N54" s="693"/>
      <c r="O54" s="693"/>
    </row>
    <row r="55" spans="1:15" s="70" customFormat="1" ht="18.5" customHeight="1">
      <c r="A55" s="95">
        <v>20</v>
      </c>
      <c r="B55" s="82" t="s">
        <v>120</v>
      </c>
      <c r="F55" s="106"/>
      <c r="G55" s="106"/>
      <c r="H55" s="107"/>
      <c r="I55" s="88">
        <f>'P-003_吉野様邸キッチン'!B124</f>
        <v>0</v>
      </c>
      <c r="J55" s="109"/>
      <c r="K55" s="104"/>
      <c r="M55" s="693"/>
      <c r="N55" s="693"/>
      <c r="O55" s="693"/>
    </row>
    <row r="56" spans="1:15" s="70" customFormat="1" ht="18.5" customHeight="1">
      <c r="A56" s="95">
        <v>21</v>
      </c>
      <c r="B56" s="96" t="s">
        <v>170</v>
      </c>
      <c r="C56" s="83"/>
      <c r="D56" s="83"/>
      <c r="E56" s="97"/>
      <c r="F56" s="108">
        <f>マスター設定!K20*100</f>
        <v>10</v>
      </c>
      <c r="G56" s="86" t="s">
        <v>1351</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1351</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4" t="s">
        <v>302</v>
      </c>
      <c r="D10" s="694"/>
      <c r="E10" s="694"/>
      <c r="F10" s="49" t="s">
        <v>96</v>
      </c>
      <c r="G10" s="40"/>
      <c r="H10" s="710" t="s">
        <v>303</v>
      </c>
      <c r="I10" s="710"/>
      <c r="J10" s="711"/>
    </row>
    <row r="11" spans="1:11" ht="18.75" customHeight="1" thickTop="1">
      <c r="A11" s="45"/>
      <c r="F11" s="49"/>
      <c r="G11" s="40"/>
      <c r="H11" s="710"/>
      <c r="I11" s="710"/>
      <c r="J11" s="711"/>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12"/>
      <c r="D14" s="712"/>
      <c r="E14" s="53" t="s">
        <v>163</v>
      </c>
      <c r="F14" s="55" t="s">
        <v>98</v>
      </c>
      <c r="G14" s="698">
        <f>I61</f>
        <v>2640000</v>
      </c>
      <c r="H14" s="698"/>
      <c r="I14" s="56" t="s">
        <v>165</v>
      </c>
      <c r="J14" s="45"/>
    </row>
    <row r="15" spans="1:11" ht="25.5" customHeight="1" thickTop="1">
      <c r="A15" s="45"/>
      <c r="C15" s="712"/>
      <c r="D15" s="712"/>
      <c r="E15" s="267"/>
      <c r="F15" s="268"/>
      <c r="G15" s="703"/>
      <c r="H15" s="703"/>
      <c r="I15" s="51"/>
      <c r="J15" s="45"/>
    </row>
    <row r="16" spans="1:11" ht="12.75" customHeight="1">
      <c r="A16" s="45"/>
      <c r="E16" s="269"/>
      <c r="F16" s="270"/>
      <c r="G16" s="713"/>
      <c r="H16" s="714"/>
      <c r="J16" s="45"/>
    </row>
    <row r="17" spans="1:10" ht="18.75" customHeight="1">
      <c r="A17" s="45"/>
      <c r="E17" s="271"/>
      <c r="F17" s="270"/>
      <c r="G17" s="715"/>
      <c r="H17" s="715"/>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9"/>
      <c r="H22" s="699"/>
      <c r="I22" s="699"/>
      <c r="J22" s="700"/>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6" t="s">
        <v>173</v>
      </c>
      <c r="C27" s="717"/>
      <c r="D27" s="717"/>
      <c r="E27" s="717"/>
      <c r="F27" s="717"/>
      <c r="I27" s="56"/>
      <c r="J27" s="45"/>
    </row>
    <row r="28" spans="1:10" ht="18.75" customHeight="1">
      <c r="A28" s="45"/>
      <c r="B28" s="716"/>
      <c r="C28" s="717"/>
      <c r="D28" s="717"/>
      <c r="E28" s="717"/>
      <c r="F28" s="717"/>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3"/>
      <c r="M36" s="693"/>
      <c r="N36" s="693"/>
    </row>
    <row r="37" spans="1:14" s="70" customFormat="1" ht="18.5" customHeight="1">
      <c r="A37" s="81">
        <v>2</v>
      </c>
      <c r="B37" s="91"/>
      <c r="C37" s="92"/>
      <c r="D37" s="92"/>
      <c r="E37" s="84"/>
      <c r="F37" s="85"/>
      <c r="G37" s="86"/>
      <c r="H37" s="93"/>
      <c r="I37" s="88"/>
      <c r="J37" s="89"/>
      <c r="L37" s="693"/>
      <c r="M37" s="693"/>
      <c r="N37" s="693"/>
    </row>
    <row r="38" spans="1:14" s="70" customFormat="1" ht="18.5" customHeight="1">
      <c r="A38" s="81">
        <v>3</v>
      </c>
      <c r="B38" s="82"/>
      <c r="C38" s="83"/>
      <c r="D38" s="92"/>
      <c r="E38" s="94"/>
      <c r="F38" s="85"/>
      <c r="G38" s="86"/>
      <c r="H38" s="93"/>
      <c r="I38" s="88"/>
      <c r="J38" s="89"/>
      <c r="L38" s="693"/>
      <c r="M38" s="693"/>
      <c r="N38" s="693"/>
    </row>
    <row r="39" spans="1:14" s="70" customFormat="1" ht="18.5" customHeight="1">
      <c r="A39" s="95">
        <v>4</v>
      </c>
      <c r="B39" s="83"/>
      <c r="C39" s="83"/>
      <c r="D39" s="92"/>
      <c r="E39" s="94"/>
      <c r="F39" s="85"/>
      <c r="G39" s="86"/>
      <c r="H39" s="93"/>
      <c r="I39" s="88"/>
      <c r="J39" s="89"/>
      <c r="L39" s="693"/>
      <c r="M39" s="693"/>
      <c r="N39" s="693"/>
    </row>
    <row r="40" spans="1:14" s="70" customFormat="1" ht="18.5" customHeight="1">
      <c r="A40" s="95">
        <v>5</v>
      </c>
      <c r="B40" s="96"/>
      <c r="C40" s="83"/>
      <c r="D40" s="92"/>
      <c r="E40" s="94"/>
      <c r="F40" s="85"/>
      <c r="G40" s="86"/>
      <c r="H40" s="93"/>
      <c r="I40" s="88"/>
      <c r="J40" s="89"/>
      <c r="L40" s="693"/>
      <c r="M40" s="693"/>
      <c r="N40" s="693"/>
    </row>
    <row r="41" spans="1:14" s="70" customFormat="1" ht="18.5" customHeight="1">
      <c r="A41" s="95">
        <v>6</v>
      </c>
      <c r="B41" s="82"/>
      <c r="C41" s="83"/>
      <c r="D41" s="92"/>
      <c r="E41" s="97"/>
      <c r="F41" s="85"/>
      <c r="G41" s="86"/>
      <c r="H41" s="98"/>
      <c r="I41" s="88"/>
      <c r="J41" s="99"/>
      <c r="L41" s="693"/>
      <c r="M41" s="693"/>
      <c r="N41" s="693"/>
    </row>
    <row r="42" spans="1:14" s="70" customFormat="1" ht="18.5" customHeight="1">
      <c r="A42" s="95">
        <v>7</v>
      </c>
      <c r="B42" s="82"/>
      <c r="C42" s="83"/>
      <c r="D42" s="92"/>
      <c r="E42" s="97"/>
      <c r="F42" s="85"/>
      <c r="G42" s="86"/>
      <c r="H42" s="98"/>
      <c r="I42" s="88"/>
      <c r="J42" s="99"/>
      <c r="L42" s="706"/>
      <c r="M42" s="707"/>
      <c r="N42" s="707"/>
    </row>
    <row r="43" spans="1:14" s="70" customFormat="1" ht="18.5" customHeight="1">
      <c r="A43" s="95">
        <v>8</v>
      </c>
      <c r="B43" s="92"/>
      <c r="C43" s="83"/>
      <c r="D43" s="92"/>
      <c r="E43" s="97"/>
      <c r="F43" s="85"/>
      <c r="G43" s="86"/>
      <c r="H43" s="100"/>
      <c r="I43" s="88"/>
      <c r="J43" s="99"/>
      <c r="L43" s="693"/>
      <c r="M43" s="693"/>
      <c r="N43" s="693"/>
    </row>
    <row r="44" spans="1:14" s="70" customFormat="1" ht="18.5" customHeight="1">
      <c r="A44" s="95">
        <v>9</v>
      </c>
      <c r="B44" s="92"/>
      <c r="C44" s="83"/>
      <c r="D44" s="92"/>
      <c r="E44" s="103"/>
      <c r="F44" s="85"/>
      <c r="G44" s="86"/>
      <c r="H44" s="100"/>
      <c r="I44" s="88"/>
      <c r="J44" s="99"/>
      <c r="L44" s="693"/>
      <c r="M44" s="693"/>
      <c r="N44" s="693"/>
    </row>
    <row r="45" spans="1:14" s="70" customFormat="1" ht="18.5" customHeight="1">
      <c r="A45" s="95">
        <v>10</v>
      </c>
      <c r="B45" s="83"/>
      <c r="C45" s="92"/>
      <c r="D45" s="92"/>
      <c r="E45" s="103"/>
      <c r="F45" s="85"/>
      <c r="G45" s="86"/>
      <c r="H45" s="100"/>
      <c r="I45" s="88"/>
      <c r="J45" s="99"/>
      <c r="L45" s="693"/>
      <c r="M45" s="693"/>
      <c r="N45" s="693"/>
    </row>
    <row r="46" spans="1:14" s="70" customFormat="1" ht="18.5" customHeight="1">
      <c r="A46" s="95">
        <v>11</v>
      </c>
      <c r="B46" s="83"/>
      <c r="C46" s="83"/>
      <c r="D46" s="92"/>
      <c r="E46" s="97"/>
      <c r="F46" s="85"/>
      <c r="G46" s="86"/>
      <c r="H46" s="100"/>
      <c r="I46" s="88"/>
      <c r="J46" s="99"/>
      <c r="K46" s="104"/>
      <c r="L46" s="708"/>
      <c r="M46" s="709"/>
      <c r="N46" s="709"/>
    </row>
    <row r="47" spans="1:14" s="70" customFormat="1" ht="18.5" customHeight="1">
      <c r="A47" s="95">
        <v>12</v>
      </c>
      <c r="B47" s="83"/>
      <c r="C47" s="83"/>
      <c r="D47" s="92"/>
      <c r="E47" s="97"/>
      <c r="F47" s="85"/>
      <c r="G47" s="86"/>
      <c r="H47" s="100"/>
      <c r="I47" s="88"/>
      <c r="J47" s="99"/>
      <c r="K47" s="104"/>
      <c r="L47" s="693"/>
      <c r="M47" s="693"/>
      <c r="N47" s="693"/>
    </row>
    <row r="48" spans="1:14" s="70" customFormat="1" ht="18.5" customHeight="1">
      <c r="A48" s="95">
        <v>13</v>
      </c>
      <c r="B48" s="82"/>
      <c r="C48" s="83"/>
      <c r="D48" s="83"/>
      <c r="E48" s="97"/>
      <c r="F48" s="106"/>
      <c r="G48" s="106"/>
      <c r="H48" s="107"/>
      <c r="I48" s="88"/>
      <c r="J48" s="99"/>
      <c r="K48" s="104"/>
      <c r="L48" s="693"/>
      <c r="M48" s="693"/>
      <c r="N48" s="693"/>
    </row>
    <row r="49" spans="1:14" s="70" customFormat="1" ht="18.5" customHeight="1">
      <c r="A49" s="95">
        <v>14</v>
      </c>
      <c r="B49" s="82"/>
      <c r="C49" s="83"/>
      <c r="D49" s="83"/>
      <c r="E49" s="97"/>
      <c r="F49" s="85"/>
      <c r="G49" s="86"/>
      <c r="H49" s="100"/>
      <c r="I49" s="88"/>
      <c r="J49" s="99"/>
      <c r="K49" s="104">
        <v>0</v>
      </c>
      <c r="L49" s="693"/>
      <c r="M49" s="693"/>
      <c r="N49" s="693"/>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8" t="s">
        <v>69</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5"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9" t="s">
        <v>70</v>
      </c>
      <c r="AZ3" s="720"/>
      <c r="BA3" s="720"/>
      <c r="BB3" s="720"/>
      <c r="BC3" s="720"/>
      <c r="BD3" s="720"/>
      <c r="BE3" s="721"/>
      <c r="BF3" s="4"/>
      <c r="BG3" s="4"/>
      <c r="BH3" s="4"/>
      <c r="BI3" s="4"/>
      <c r="BJ3" s="4"/>
      <c r="BK3" s="4"/>
      <c r="BL3" s="4"/>
      <c r="BM3" s="4"/>
      <c r="BN3" s="4"/>
    </row>
    <row r="4" spans="1:85" ht="16" customHeight="1">
      <c r="A4" s="5"/>
      <c r="B4" s="728">
        <f>[1]Ｓ表紙!C10</f>
        <v>0</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v>2025</v>
      </c>
      <c r="AB4" s="732"/>
      <c r="AC4" s="732"/>
      <c r="AD4" s="732"/>
      <c r="AE4" s="733" t="s">
        <v>3</v>
      </c>
      <c r="AF4" s="733"/>
      <c r="AG4" s="732">
        <v>4</v>
      </c>
      <c r="AH4" s="732"/>
      <c r="AI4" s="733" t="s">
        <v>4</v>
      </c>
      <c r="AJ4" s="733"/>
      <c r="AK4" s="732">
        <v>12</v>
      </c>
      <c r="AL4" s="732"/>
      <c r="AM4" s="733" t="s">
        <v>6</v>
      </c>
      <c r="AN4" s="733"/>
      <c r="AO4" s="4"/>
      <c r="AP4" s="4"/>
      <c r="AQ4" s="4"/>
      <c r="AR4" s="4"/>
      <c r="AS4" s="4"/>
      <c r="AT4" s="4"/>
      <c r="AU4" s="4"/>
      <c r="AV4" s="4"/>
      <c r="AW4" s="4"/>
      <c r="AX4" s="4"/>
      <c r="AY4" s="722"/>
      <c r="AZ4" s="723"/>
      <c r="BA4" s="723"/>
      <c r="BB4" s="723"/>
      <c r="BC4" s="723"/>
      <c r="BD4" s="723"/>
      <c r="BE4" s="724"/>
      <c r="BF4" s="4"/>
      <c r="BG4" s="4"/>
      <c r="BH4" s="4"/>
      <c r="BI4" s="4"/>
      <c r="BJ4" s="4"/>
      <c r="BK4" s="4"/>
      <c r="BL4" s="4"/>
      <c r="BM4" s="4"/>
      <c r="BN4" s="4"/>
    </row>
    <row r="5" spans="1:85" ht="16"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722"/>
      <c r="AZ5" s="723"/>
      <c r="BA5" s="723"/>
      <c r="BB5" s="723"/>
      <c r="BC5" s="723"/>
      <c r="BD5" s="723"/>
      <c r="BE5" s="724"/>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5"/>
      <c r="AZ6" s="726"/>
      <c r="BA6" s="726"/>
      <c r="BB6" s="726"/>
      <c r="BC6" s="726"/>
      <c r="BD6" s="726"/>
      <c r="BE6" s="727"/>
      <c r="BF6" s="9"/>
      <c r="BG6" s="9"/>
      <c r="BH6" s="9"/>
      <c r="BI6" s="9"/>
      <c r="BJ6" s="9"/>
      <c r="BK6" s="9"/>
      <c r="BL6" s="9"/>
      <c r="BM6" s="9"/>
      <c r="BN6" s="9"/>
    </row>
    <row r="7" spans="1:85" ht="18" customHeight="1">
      <c r="A7" s="739" t="s">
        <v>10</v>
      </c>
      <c r="B7" s="739"/>
      <c r="C7" s="739"/>
      <c r="D7" s="739"/>
      <c r="E7" s="739"/>
      <c r="F7" s="739"/>
      <c r="G7" s="739"/>
      <c r="H7" s="739"/>
      <c r="I7" s="739"/>
      <c r="J7" s="31" t="s">
        <v>72</v>
      </c>
      <c r="K7" s="740">
        <f>[1]Ｓ表紙!D22</f>
        <v>0</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4" t="s">
        <v>14</v>
      </c>
      <c r="B8" s="734"/>
      <c r="C8" s="734"/>
      <c r="D8" s="734"/>
      <c r="E8" s="734"/>
      <c r="F8" s="734"/>
      <c r="G8" s="734"/>
      <c r="H8" s="734"/>
      <c r="I8" s="734"/>
      <c r="J8" s="10" t="s">
        <v>72</v>
      </c>
      <c r="K8" s="741">
        <f>[1]Ｓ表紙!D20</f>
        <v>0</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4" t="s">
        <v>15</v>
      </c>
      <c r="B9" s="734"/>
      <c r="C9" s="734"/>
      <c r="D9" s="734"/>
      <c r="E9" s="734"/>
      <c r="F9" s="734"/>
      <c r="G9" s="734"/>
      <c r="H9" s="734"/>
      <c r="I9" s="734"/>
      <c r="J9" s="10" t="s">
        <v>72</v>
      </c>
      <c r="K9" s="742" t="s">
        <v>300</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c r="AR9" s="730"/>
      <c r="AS9" s="730"/>
      <c r="AT9" s="730"/>
      <c r="AU9" s="266"/>
      <c r="AV9" s="4"/>
      <c r="AW9" s="4"/>
      <c r="AX9" s="4"/>
      <c r="AY9" s="4"/>
      <c r="AZ9" s="8"/>
      <c r="BA9" s="8"/>
      <c r="BB9" s="8"/>
      <c r="BC9" s="8"/>
      <c r="BD9" s="8"/>
      <c r="BE9" s="8"/>
      <c r="BF9" s="8"/>
      <c r="BG9" s="8"/>
      <c r="BH9" s="8"/>
      <c r="BI9" s="8"/>
      <c r="BJ9" s="8"/>
      <c r="BK9" s="8"/>
      <c r="BL9" s="8"/>
      <c r="BM9" s="8"/>
      <c r="BN9" s="8"/>
    </row>
    <row r="10" spans="1:85" ht="18" customHeight="1">
      <c r="A10" s="734" t="s">
        <v>16</v>
      </c>
      <c r="B10" s="734"/>
      <c r="C10" s="734"/>
      <c r="D10" s="734"/>
      <c r="E10" s="734"/>
      <c r="F10" s="734"/>
      <c r="G10" s="734"/>
      <c r="H10" s="734"/>
      <c r="I10" s="734"/>
      <c r="J10" s="10" t="s">
        <v>72</v>
      </c>
      <c r="K10" s="735"/>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c r="AR10" s="730"/>
      <c r="AS10" s="730"/>
      <c r="AT10" s="730"/>
      <c r="AU10" s="4"/>
      <c r="AV10" s="4"/>
      <c r="AW10" s="4"/>
      <c r="AX10" s="4"/>
      <c r="AY10" s="4"/>
      <c r="AZ10" s="8"/>
      <c r="BA10" s="8"/>
      <c r="BB10" s="8"/>
      <c r="BC10" s="8"/>
      <c r="BD10" s="8"/>
      <c r="BE10" s="8"/>
      <c r="BF10" s="8"/>
      <c r="BG10" s="8"/>
      <c r="BH10" s="8"/>
      <c r="BI10" s="8"/>
      <c r="BJ10" s="8"/>
      <c r="BK10" s="8"/>
      <c r="BL10" s="8"/>
      <c r="BM10" s="8"/>
      <c r="BN10" s="8"/>
    </row>
    <row r="11" spans="1:85" ht="18" customHeight="1">
      <c r="A11" s="734" t="s">
        <v>17</v>
      </c>
      <c r="B11" s="734"/>
      <c r="C11" s="734"/>
      <c r="D11" s="734"/>
      <c r="E11" s="734"/>
      <c r="F11" s="734"/>
      <c r="G11" s="734"/>
      <c r="H11" s="734"/>
      <c r="I11" s="734"/>
      <c r="J11" s="10" t="s">
        <v>72</v>
      </c>
      <c r="K11" s="736">
        <f>+AP41</f>
        <v>0</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c r="AR11" s="738"/>
      <c r="AS11" s="738"/>
      <c r="AT11" s="738"/>
      <c r="AU11" s="11"/>
      <c r="AV11" s="11"/>
      <c r="AW11" s="11"/>
      <c r="AX11" s="11"/>
      <c r="AY11" s="11"/>
      <c r="AZ11" s="12"/>
      <c r="BA11" s="12"/>
      <c r="BB11" s="12"/>
      <c r="BC11" s="12"/>
      <c r="BD11" s="12"/>
      <c r="BE11" s="12"/>
      <c r="BF11" s="12"/>
      <c r="BG11" s="12"/>
      <c r="BH11" s="12"/>
      <c r="BI11" s="12"/>
      <c r="BJ11" s="12"/>
      <c r="BK11" s="12"/>
      <c r="BL11" s="743"/>
      <c r="BM11" s="743"/>
      <c r="BN11" s="12"/>
    </row>
    <row r="12" spans="1:85" ht="16" customHeight="1">
      <c r="A12" s="744"/>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row>
    <row r="13" spans="1:85"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c r="CF13" s="15"/>
      <c r="CG13" s="15"/>
    </row>
    <row r="14" spans="1:85"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t="s">
        <v>71</v>
      </c>
      <c r="CF14" s="15"/>
      <c r="CG14" s="15"/>
    </row>
    <row r="15" spans="1:85"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SUM([1]Ｓ表紙!I36:I55)</f>
        <v>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t="s">
        <v>77</v>
      </c>
      <c r="CF15" s="15"/>
      <c r="CG15" s="15"/>
    </row>
    <row r="16" spans="1:85"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t="s">
        <v>78</v>
      </c>
      <c r="CF16" s="15"/>
      <c r="CG16" s="15"/>
    </row>
    <row r="17" spans="1:85"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SUM([1]Ｓ表紙!I57)</f>
        <v>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t="s">
        <v>79</v>
      </c>
      <c r="CF17" s="15"/>
      <c r="CG17" s="15"/>
    </row>
    <row r="18" spans="1:85"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c r="CF18" s="15"/>
      <c r="CG18" s="15"/>
    </row>
    <row r="19" spans="1:85"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[1]Ｓ表紙!I56</f>
        <v>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c r="CF19" s="15"/>
      <c r="CG19" s="15"/>
    </row>
    <row r="20" spans="1:85"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c r="CF20" s="15"/>
      <c r="CG20" s="15"/>
    </row>
    <row r="21" spans="1:85"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[1]Ｓ表紙!I58</f>
        <v>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c r="CF21" s="15"/>
      <c r="CG21" s="15"/>
    </row>
    <row r="22" spans="1:85"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c r="CF22" s="15"/>
      <c r="CG22" s="15"/>
    </row>
    <row r="23" spans="1:85"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c r="CF23" s="15"/>
      <c r="CG23" s="15"/>
    </row>
    <row r="24" spans="1:85"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c r="CF24" s="15"/>
      <c r="CG24" s="15"/>
    </row>
    <row r="25" spans="1:85"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c r="CF25" s="15"/>
      <c r="CG25" s="15"/>
    </row>
    <row r="26" spans="1:85"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c r="CF26" s="15"/>
      <c r="CG26" s="15"/>
    </row>
    <row r="27" spans="1:85"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c r="CF27" s="15"/>
      <c r="CG27" s="15"/>
    </row>
    <row r="28" spans="1:85"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c r="CF28" s="15"/>
      <c r="CG28" s="15"/>
    </row>
    <row r="29" spans="1:85"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c r="CF29" s="15"/>
      <c r="CG29" s="15"/>
    </row>
    <row r="30" spans="1:85"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c r="CF30" s="15"/>
      <c r="CG30" s="15"/>
    </row>
    <row r="31" spans="1:85"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c r="CF31" s="15"/>
      <c r="CG31" s="15"/>
    </row>
    <row r="32" spans="1:85"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c r="CF32" s="15"/>
      <c r="CG32" s="15"/>
    </row>
    <row r="33" spans="1:85"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c r="CF33" s="15"/>
      <c r="CG33" s="15"/>
    </row>
    <row r="34" spans="1:85"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c r="CF34" s="15"/>
      <c r="CG34" s="15"/>
    </row>
    <row r="35" spans="1:85"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c r="CF35" s="15"/>
      <c r="CG35" s="15"/>
    </row>
    <row r="36" spans="1:85"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c r="CF36" s="15"/>
      <c r="CG36" s="15"/>
    </row>
    <row r="37" spans="1:85"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0</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c r="CF37" s="15"/>
      <c r="CG37" s="15"/>
    </row>
    <row r="38" spans="1:85"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c r="CF38" s="15"/>
      <c r="CG38" s="15"/>
    </row>
    <row r="39" spans="1:85"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[1]Ｓ表紙!I60</f>
        <v>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c r="CF39" s="15"/>
      <c r="CG39" s="15"/>
    </row>
    <row r="40" spans="1:85"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c r="CG40" s="15"/>
    </row>
    <row r="41" spans="1:85"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0</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c r="CG41" s="15"/>
    </row>
    <row r="42" spans="1:85"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4" t="s">
        <v>137</v>
      </c>
      <c r="C1" s="775"/>
      <c r="D1" s="775"/>
      <c r="E1" s="775"/>
      <c r="F1" s="775"/>
      <c r="G1" s="775"/>
      <c r="H1" s="254"/>
      <c r="I1" s="254"/>
      <c r="J1" s="254"/>
      <c r="K1" s="254"/>
      <c r="L1" s="254"/>
      <c r="M1" s="776"/>
      <c r="N1" s="775"/>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7" t="s">
        <v>138</v>
      </c>
      <c r="C3" s="768"/>
      <c r="D3" s="769" t="str">
        <f>Ｓ表紙!C10</f>
        <v>吉野</v>
      </c>
      <c r="E3" s="770"/>
      <c r="F3" s="770"/>
      <c r="G3" s="770"/>
      <c r="H3" s="770"/>
      <c r="I3" s="770"/>
      <c r="J3" s="768"/>
      <c r="K3" s="771" t="s">
        <v>139</v>
      </c>
      <c r="L3" s="768"/>
      <c r="M3" s="772">
        <v>44966</v>
      </c>
      <c r="N3" s="770"/>
      <c r="O3" s="768"/>
      <c r="P3" s="254"/>
      <c r="Q3" s="254"/>
      <c r="R3" s="254"/>
      <c r="S3" s="254"/>
      <c r="T3" s="254"/>
      <c r="U3" s="254"/>
      <c r="V3" s="254"/>
      <c r="W3" s="254"/>
      <c r="X3" s="254"/>
      <c r="Y3" s="254"/>
      <c r="Z3" s="254"/>
    </row>
    <row r="4" spans="1:26" ht="12.75" customHeight="1">
      <c r="A4" s="254"/>
      <c r="B4" s="767" t="s">
        <v>140</v>
      </c>
      <c r="C4" s="768"/>
      <c r="D4" s="769"/>
      <c r="E4" s="770"/>
      <c r="F4" s="770"/>
      <c r="G4" s="770"/>
      <c r="H4" s="770"/>
      <c r="I4" s="770"/>
      <c r="J4" s="768"/>
      <c r="K4" s="771" t="s">
        <v>141</v>
      </c>
      <c r="L4" s="768"/>
      <c r="M4" s="772">
        <v>44966</v>
      </c>
      <c r="N4" s="770"/>
      <c r="O4" s="768"/>
      <c r="P4" s="254"/>
      <c r="Q4" s="254"/>
      <c r="R4" s="254"/>
      <c r="S4" s="254"/>
      <c r="T4" s="254"/>
      <c r="U4" s="254"/>
      <c r="V4" s="254"/>
      <c r="W4" s="254"/>
      <c r="X4" s="254"/>
      <c r="Y4" s="254"/>
      <c r="Z4" s="254"/>
    </row>
    <row r="5" spans="1:26" ht="12.75" customHeight="1">
      <c r="A5" s="254"/>
      <c r="B5" s="767" t="s">
        <v>142</v>
      </c>
      <c r="C5" s="768"/>
      <c r="D5" s="769" t="str">
        <f>Ｓ表紙!D20</f>
        <v>吉野様邸 キッチンリフォーム</v>
      </c>
      <c r="E5" s="770"/>
      <c r="F5" s="770"/>
      <c r="G5" s="770"/>
      <c r="H5" s="770"/>
      <c r="I5" s="770"/>
      <c r="J5" s="768"/>
      <c r="K5" s="771" t="s">
        <v>143</v>
      </c>
      <c r="L5" s="768"/>
      <c r="M5" s="773">
        <f>Ｓ表紙!G14</f>
        <v>1573406</v>
      </c>
      <c r="N5" s="770"/>
      <c r="O5" s="768"/>
      <c r="P5" s="254"/>
      <c r="Q5" s="254"/>
      <c r="R5" s="254"/>
      <c r="S5" s="254"/>
      <c r="T5" s="254"/>
      <c r="U5" s="254"/>
      <c r="V5" s="254"/>
      <c r="W5" s="254"/>
      <c r="X5" s="254"/>
      <c r="Y5" s="254"/>
      <c r="Z5" s="254"/>
    </row>
    <row r="6" spans="1:26" ht="12.75" customHeight="1">
      <c r="A6" s="259"/>
      <c r="B6" s="767" t="s">
        <v>144</v>
      </c>
      <c r="C6" s="768"/>
      <c r="D6" s="769" t="str">
        <f>Ｓ表紙!D22</f>
        <v>東京都港区南麻布</v>
      </c>
      <c r="E6" s="770"/>
      <c r="F6" s="770"/>
      <c r="G6" s="770"/>
      <c r="H6" s="770"/>
      <c r="I6" s="770"/>
      <c r="J6" s="768"/>
      <c r="K6" s="771" t="s">
        <v>145</v>
      </c>
      <c r="L6" s="768"/>
      <c r="M6" s="781"/>
      <c r="N6" s="770"/>
      <c r="O6" s="768"/>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82" t="s">
        <v>146</v>
      </c>
      <c r="C8" s="770"/>
      <c r="D8" s="770"/>
      <c r="E8" s="770"/>
      <c r="F8" s="770"/>
      <c r="G8" s="770"/>
      <c r="H8" s="768"/>
      <c r="I8" s="783" t="s">
        <v>147</v>
      </c>
      <c r="J8" s="770"/>
      <c r="K8" s="770"/>
      <c r="L8" s="770"/>
      <c r="M8" s="770"/>
      <c r="N8" s="770"/>
      <c r="O8" s="768"/>
      <c r="P8" s="254"/>
      <c r="Q8" s="254"/>
      <c r="R8" s="254"/>
      <c r="S8" s="254"/>
      <c r="T8" s="254"/>
      <c r="U8" s="254"/>
      <c r="V8" s="254"/>
      <c r="W8" s="254"/>
      <c r="X8" s="254"/>
      <c r="Y8" s="254"/>
      <c r="Z8" s="254"/>
    </row>
    <row r="9" spans="1:26" ht="12.75" customHeight="1">
      <c r="A9" s="254"/>
      <c r="B9" s="771" t="s">
        <v>148</v>
      </c>
      <c r="C9" s="770"/>
      <c r="D9" s="777"/>
      <c r="E9" s="778" t="s">
        <v>149</v>
      </c>
      <c r="F9" s="770"/>
      <c r="G9" s="777"/>
      <c r="H9" s="260" t="s">
        <v>150</v>
      </c>
      <c r="I9" s="771" t="s">
        <v>148</v>
      </c>
      <c r="J9" s="770"/>
      <c r="K9" s="777"/>
      <c r="L9" s="778" t="s">
        <v>151</v>
      </c>
      <c r="M9" s="770"/>
      <c r="N9" s="777"/>
      <c r="O9" s="260" t="s">
        <v>150</v>
      </c>
      <c r="P9" s="254"/>
      <c r="Q9" s="254"/>
      <c r="R9" s="254"/>
      <c r="S9" s="254"/>
      <c r="T9" s="254"/>
      <c r="U9" s="254"/>
      <c r="V9" s="254"/>
      <c r="W9" s="254"/>
      <c r="X9" s="254"/>
      <c r="Y9" s="254"/>
      <c r="Z9" s="254"/>
    </row>
    <row r="10" spans="1:26" ht="12.75" customHeight="1">
      <c r="A10" s="254"/>
      <c r="B10" s="779"/>
      <c r="C10" s="770"/>
      <c r="D10" s="770"/>
      <c r="E10" s="780"/>
      <c r="F10" s="770"/>
      <c r="G10" s="777"/>
      <c r="H10" s="261"/>
      <c r="I10" s="779"/>
      <c r="J10" s="770"/>
      <c r="K10" s="770"/>
      <c r="L10" s="780"/>
      <c r="M10" s="770"/>
      <c r="N10" s="777"/>
      <c r="O10" s="261"/>
      <c r="P10" s="254"/>
      <c r="Q10" s="254"/>
      <c r="R10" s="254"/>
      <c r="S10" s="254"/>
      <c r="T10" s="254"/>
      <c r="U10" s="254"/>
      <c r="V10" s="254"/>
      <c r="W10" s="254"/>
      <c r="X10" s="254"/>
      <c r="Y10" s="254"/>
      <c r="Z10" s="254"/>
    </row>
    <row r="11" spans="1:26" ht="12.75" customHeight="1">
      <c r="A11" s="254"/>
      <c r="B11" s="779"/>
      <c r="C11" s="770"/>
      <c r="D11" s="770"/>
      <c r="E11" s="780"/>
      <c r="F11" s="770"/>
      <c r="G11" s="777"/>
      <c r="H11" s="261"/>
      <c r="I11" s="779"/>
      <c r="J11" s="770"/>
      <c r="K11" s="770"/>
      <c r="L11" s="780"/>
      <c r="M11" s="770"/>
      <c r="N11" s="777"/>
      <c r="O11" s="261"/>
      <c r="P11" s="254"/>
      <c r="Q11" s="254"/>
      <c r="R11" s="254"/>
      <c r="S11" s="254"/>
      <c r="T11" s="254"/>
      <c r="U11" s="254"/>
      <c r="V11" s="254"/>
      <c r="W11" s="254"/>
      <c r="X11" s="254"/>
      <c r="Y11" s="254"/>
      <c r="Z11" s="254"/>
    </row>
    <row r="12" spans="1:26" ht="12.75" customHeight="1">
      <c r="A12" s="254"/>
      <c r="B12" s="779"/>
      <c r="C12" s="770"/>
      <c r="D12" s="770"/>
      <c r="E12" s="780"/>
      <c r="F12" s="770"/>
      <c r="G12" s="777"/>
      <c r="H12" s="261"/>
      <c r="I12" s="779"/>
      <c r="J12" s="770"/>
      <c r="K12" s="770"/>
      <c r="L12" s="780"/>
      <c r="M12" s="770"/>
      <c r="N12" s="777"/>
      <c r="O12" s="261"/>
      <c r="P12" s="254"/>
      <c r="Q12" s="254"/>
      <c r="R12" s="254"/>
      <c r="S12" s="254"/>
      <c r="T12" s="254"/>
      <c r="U12" s="254"/>
      <c r="V12" s="254"/>
      <c r="W12" s="254"/>
      <c r="X12" s="254"/>
      <c r="Y12" s="254"/>
      <c r="Z12" s="254"/>
    </row>
    <row r="13" spans="1:26" ht="12.75" customHeight="1">
      <c r="A13" s="254"/>
      <c r="B13" s="779"/>
      <c r="C13" s="770"/>
      <c r="D13" s="770"/>
      <c r="E13" s="780"/>
      <c r="F13" s="770"/>
      <c r="G13" s="777"/>
      <c r="H13" s="261"/>
      <c r="I13" s="779"/>
      <c r="J13" s="770"/>
      <c r="K13" s="770"/>
      <c r="L13" s="780"/>
      <c r="M13" s="770"/>
      <c r="N13" s="777"/>
      <c r="O13" s="261"/>
      <c r="P13" s="254"/>
      <c r="Q13" s="254"/>
      <c r="R13" s="254"/>
      <c r="S13" s="254"/>
      <c r="T13" s="254"/>
      <c r="U13" s="254"/>
      <c r="V13" s="254"/>
      <c r="W13" s="254"/>
      <c r="X13" s="254"/>
      <c r="Y13" s="254"/>
      <c r="Z13" s="254"/>
    </row>
    <row r="14" spans="1:26" ht="12.75" customHeight="1">
      <c r="A14" s="254"/>
      <c r="B14" s="779"/>
      <c r="C14" s="770"/>
      <c r="D14" s="770"/>
      <c r="E14" s="780"/>
      <c r="F14" s="770"/>
      <c r="G14" s="777"/>
      <c r="H14" s="261"/>
      <c r="I14" s="779"/>
      <c r="J14" s="770"/>
      <c r="K14" s="770"/>
      <c r="L14" s="780"/>
      <c r="M14" s="770"/>
      <c r="N14" s="777"/>
      <c r="O14" s="261"/>
      <c r="P14" s="254"/>
      <c r="Q14" s="254"/>
      <c r="R14" s="254"/>
      <c r="S14" s="254"/>
      <c r="T14" s="254"/>
      <c r="U14" s="254"/>
      <c r="V14" s="254"/>
      <c r="W14" s="254"/>
      <c r="X14" s="254"/>
      <c r="Y14" s="254"/>
      <c r="Z14" s="254"/>
    </row>
    <row r="15" spans="1:26" ht="12.75" customHeight="1">
      <c r="A15" s="254"/>
      <c r="B15" s="779"/>
      <c r="C15" s="770"/>
      <c r="D15" s="770"/>
      <c r="E15" s="780"/>
      <c r="F15" s="770"/>
      <c r="G15" s="777"/>
      <c r="H15" s="261"/>
      <c r="I15" s="779"/>
      <c r="J15" s="770"/>
      <c r="K15" s="770"/>
      <c r="L15" s="780"/>
      <c r="M15" s="770"/>
      <c r="N15" s="777"/>
      <c r="O15" s="261"/>
      <c r="P15" s="254"/>
      <c r="Q15" s="254"/>
      <c r="R15" s="254"/>
      <c r="S15" s="254"/>
      <c r="T15" s="254"/>
      <c r="U15" s="254"/>
      <c r="V15" s="254"/>
      <c r="W15" s="254"/>
      <c r="X15" s="254"/>
      <c r="Y15" s="254"/>
      <c r="Z15" s="254"/>
    </row>
    <row r="16" spans="1:26" ht="12.75" customHeight="1">
      <c r="A16" s="254"/>
      <c r="B16" s="779"/>
      <c r="C16" s="770"/>
      <c r="D16" s="770"/>
      <c r="E16" s="780"/>
      <c r="F16" s="770"/>
      <c r="G16" s="777"/>
      <c r="H16" s="261"/>
      <c r="I16" s="779"/>
      <c r="J16" s="770"/>
      <c r="K16" s="770"/>
      <c r="L16" s="780"/>
      <c r="M16" s="770"/>
      <c r="N16" s="777"/>
      <c r="O16" s="261"/>
      <c r="P16" s="254"/>
      <c r="Q16" s="254"/>
      <c r="R16" s="254"/>
      <c r="S16" s="254"/>
      <c r="T16" s="254"/>
      <c r="U16" s="254"/>
      <c r="V16" s="254"/>
      <c r="W16" s="254"/>
      <c r="X16" s="254"/>
      <c r="Y16" s="254"/>
      <c r="Z16" s="254"/>
    </row>
    <row r="17" spans="1:26" ht="12.75" customHeight="1">
      <c r="A17" s="254"/>
      <c r="B17" s="779"/>
      <c r="C17" s="770"/>
      <c r="D17" s="770"/>
      <c r="E17" s="784"/>
      <c r="F17" s="770"/>
      <c r="G17" s="777"/>
      <c r="H17" s="261"/>
      <c r="I17" s="779"/>
      <c r="J17" s="770"/>
      <c r="K17" s="770"/>
      <c r="L17" s="784"/>
      <c r="M17" s="770"/>
      <c r="N17" s="777"/>
      <c r="O17" s="261"/>
      <c r="P17" s="254"/>
      <c r="Q17" s="254"/>
      <c r="R17" s="254"/>
      <c r="S17" s="254"/>
      <c r="T17" s="254"/>
      <c r="U17" s="254"/>
      <c r="V17" s="254"/>
      <c r="W17" s="254"/>
      <c r="X17" s="254"/>
      <c r="Y17" s="254"/>
      <c r="Z17" s="254"/>
    </row>
    <row r="18" spans="1:26" ht="12.75" customHeight="1">
      <c r="A18" s="254"/>
      <c r="B18" s="779"/>
      <c r="C18" s="770"/>
      <c r="D18" s="770"/>
      <c r="E18" s="780"/>
      <c r="F18" s="770"/>
      <c r="G18" s="777"/>
      <c r="H18" s="261"/>
      <c r="I18" s="779"/>
      <c r="J18" s="770"/>
      <c r="K18" s="770"/>
      <c r="L18" s="780"/>
      <c r="M18" s="770"/>
      <c r="N18" s="777"/>
      <c r="O18" s="261"/>
      <c r="P18" s="254"/>
      <c r="Q18" s="254"/>
      <c r="R18" s="254"/>
      <c r="S18" s="254"/>
      <c r="T18" s="254"/>
      <c r="U18" s="254"/>
      <c r="V18" s="254"/>
      <c r="W18" s="254"/>
      <c r="X18" s="254"/>
      <c r="Y18" s="254"/>
      <c r="Z18" s="254"/>
    </row>
    <row r="19" spans="1:26" ht="12.75" customHeight="1">
      <c r="A19" s="254"/>
      <c r="B19" s="779"/>
      <c r="C19" s="770"/>
      <c r="D19" s="770"/>
      <c r="E19" s="780"/>
      <c r="F19" s="770"/>
      <c r="G19" s="777"/>
      <c r="H19" s="261"/>
      <c r="I19" s="779"/>
      <c r="J19" s="770"/>
      <c r="K19" s="770"/>
      <c r="L19" s="785"/>
      <c r="M19" s="770"/>
      <c r="N19" s="777"/>
      <c r="O19" s="261"/>
      <c r="P19" s="254"/>
      <c r="Q19" s="254"/>
      <c r="R19" s="254"/>
      <c r="S19" s="254"/>
      <c r="T19" s="254"/>
      <c r="U19" s="254"/>
      <c r="V19" s="254"/>
      <c r="W19" s="254"/>
      <c r="X19" s="254"/>
      <c r="Y19" s="254"/>
      <c r="Z19" s="254"/>
    </row>
    <row r="20" spans="1:26" ht="12.75" customHeight="1">
      <c r="A20" s="254"/>
      <c r="B20" s="779"/>
      <c r="C20" s="770"/>
      <c r="D20" s="770"/>
      <c r="E20" s="784"/>
      <c r="F20" s="770"/>
      <c r="G20" s="777"/>
      <c r="H20" s="261"/>
      <c r="I20" s="786"/>
      <c r="J20" s="770"/>
      <c r="K20" s="777"/>
      <c r="L20" s="787"/>
      <c r="M20" s="770"/>
      <c r="N20" s="770"/>
      <c r="O20" s="262"/>
      <c r="P20" s="254"/>
      <c r="Q20" s="254"/>
      <c r="R20" s="254"/>
      <c r="S20" s="254"/>
      <c r="T20" s="254"/>
      <c r="U20" s="254"/>
      <c r="V20" s="254"/>
      <c r="W20" s="254"/>
      <c r="X20" s="254"/>
      <c r="Y20" s="254"/>
      <c r="Z20" s="254"/>
    </row>
    <row r="21" spans="1:26" ht="12.75" customHeight="1">
      <c r="A21" s="254"/>
      <c r="B21" s="779"/>
      <c r="C21" s="770"/>
      <c r="D21" s="770"/>
      <c r="E21" s="780"/>
      <c r="F21" s="770"/>
      <c r="G21" s="777"/>
      <c r="H21" s="261"/>
      <c r="I21" s="779"/>
      <c r="J21" s="770"/>
      <c r="K21" s="777"/>
      <c r="L21" s="780"/>
      <c r="M21" s="770"/>
      <c r="N21" s="777"/>
      <c r="O21" s="261"/>
      <c r="P21" s="254"/>
      <c r="Q21" s="254"/>
      <c r="R21" s="254"/>
      <c r="S21" s="254"/>
      <c r="T21" s="254"/>
      <c r="U21" s="254"/>
      <c r="V21" s="254"/>
      <c r="W21" s="254"/>
      <c r="X21" s="254"/>
      <c r="Y21" s="254"/>
      <c r="Z21" s="254"/>
    </row>
    <row r="22" spans="1:26" ht="12.75" customHeight="1">
      <c r="A22" s="254"/>
      <c r="B22" s="779"/>
      <c r="C22" s="770"/>
      <c r="D22" s="770"/>
      <c r="E22" s="780"/>
      <c r="F22" s="770"/>
      <c r="G22" s="777"/>
      <c r="H22" s="261"/>
      <c r="I22" s="779"/>
      <c r="J22" s="770"/>
      <c r="K22" s="777"/>
      <c r="L22" s="780"/>
      <c r="M22" s="770"/>
      <c r="N22" s="777"/>
      <c r="O22" s="261"/>
      <c r="P22" s="254"/>
      <c r="Q22" s="254"/>
      <c r="R22" s="254"/>
      <c r="S22" s="254"/>
      <c r="T22" s="254"/>
      <c r="U22" s="254"/>
      <c r="V22" s="254"/>
      <c r="W22" s="254"/>
      <c r="X22" s="254"/>
      <c r="Y22" s="254"/>
      <c r="Z22" s="254"/>
    </row>
    <row r="23" spans="1:26" ht="12.75" customHeight="1">
      <c r="A23" s="254"/>
      <c r="B23" s="779"/>
      <c r="C23" s="770"/>
      <c r="D23" s="770"/>
      <c r="E23" s="780"/>
      <c r="F23" s="770"/>
      <c r="G23" s="777"/>
      <c r="H23" s="261"/>
      <c r="I23" s="779"/>
      <c r="J23" s="770"/>
      <c r="K23" s="777"/>
      <c r="L23" s="780"/>
      <c r="M23" s="770"/>
      <c r="N23" s="777"/>
      <c r="O23" s="261"/>
      <c r="P23" s="254"/>
      <c r="Q23" s="254"/>
      <c r="R23" s="254"/>
      <c r="S23" s="254"/>
      <c r="T23" s="254"/>
      <c r="U23" s="254"/>
      <c r="V23" s="254"/>
      <c r="W23" s="254"/>
      <c r="X23" s="254"/>
      <c r="Y23" s="254"/>
      <c r="Z23" s="254"/>
    </row>
    <row r="24" spans="1:26" ht="12.75" customHeight="1">
      <c r="A24" s="254"/>
      <c r="B24" s="779"/>
      <c r="C24" s="770"/>
      <c r="D24" s="770"/>
      <c r="E24" s="780"/>
      <c r="F24" s="770"/>
      <c r="G24" s="777"/>
      <c r="H24" s="261"/>
      <c r="I24" s="779"/>
      <c r="J24" s="770"/>
      <c r="K24" s="777"/>
      <c r="L24" s="780"/>
      <c r="M24" s="770"/>
      <c r="N24" s="777"/>
      <c r="O24" s="261"/>
      <c r="P24" s="254"/>
      <c r="Q24" s="254"/>
      <c r="R24" s="254"/>
      <c r="S24" s="254"/>
      <c r="T24" s="254"/>
      <c r="U24" s="254"/>
      <c r="V24" s="254"/>
      <c r="W24" s="254"/>
      <c r="X24" s="254"/>
      <c r="Y24" s="254"/>
      <c r="Z24" s="254"/>
    </row>
    <row r="25" spans="1:26" ht="12.75" customHeight="1">
      <c r="A25" s="254"/>
      <c r="B25" s="779"/>
      <c r="C25" s="770"/>
      <c r="D25" s="770"/>
      <c r="E25" s="780"/>
      <c r="F25" s="770"/>
      <c r="G25" s="777"/>
      <c r="H25" s="261"/>
      <c r="I25" s="779"/>
      <c r="J25" s="770"/>
      <c r="K25" s="777"/>
      <c r="L25" s="780"/>
      <c r="M25" s="770"/>
      <c r="N25" s="777"/>
      <c r="O25" s="261"/>
      <c r="P25" s="254"/>
      <c r="Q25" s="254"/>
      <c r="R25" s="254"/>
      <c r="S25" s="254"/>
      <c r="T25" s="254"/>
      <c r="U25" s="254"/>
      <c r="V25" s="254"/>
      <c r="W25" s="254"/>
      <c r="X25" s="254"/>
      <c r="Y25" s="254"/>
      <c r="Z25" s="254"/>
    </row>
    <row r="26" spans="1:26" ht="12.75" customHeight="1">
      <c r="A26" s="254"/>
      <c r="B26" s="779"/>
      <c r="C26" s="770"/>
      <c r="D26" s="770"/>
      <c r="E26" s="780"/>
      <c r="F26" s="770"/>
      <c r="G26" s="777"/>
      <c r="H26" s="261"/>
      <c r="I26" s="779"/>
      <c r="J26" s="770"/>
      <c r="K26" s="777"/>
      <c r="L26" s="780"/>
      <c r="M26" s="770"/>
      <c r="N26" s="777"/>
      <c r="O26" s="261"/>
      <c r="P26" s="254"/>
      <c r="Q26" s="254"/>
      <c r="R26" s="254"/>
      <c r="S26" s="254"/>
      <c r="T26" s="254"/>
      <c r="U26" s="254"/>
      <c r="V26" s="254"/>
      <c r="W26" s="254"/>
      <c r="X26" s="254"/>
      <c r="Y26" s="254"/>
      <c r="Z26" s="254"/>
    </row>
    <row r="27" spans="1:26" ht="12.75" customHeight="1">
      <c r="A27" s="254"/>
      <c r="B27" s="779"/>
      <c r="C27" s="770"/>
      <c r="D27" s="770"/>
      <c r="E27" s="780"/>
      <c r="F27" s="770"/>
      <c r="G27" s="777"/>
      <c r="H27" s="261"/>
      <c r="I27" s="779"/>
      <c r="J27" s="770"/>
      <c r="K27" s="777"/>
      <c r="L27" s="780"/>
      <c r="M27" s="770"/>
      <c r="N27" s="777"/>
      <c r="O27" s="261"/>
      <c r="P27" s="254"/>
      <c r="Q27" s="254"/>
      <c r="R27" s="254"/>
      <c r="S27" s="254"/>
      <c r="T27" s="254"/>
      <c r="U27" s="254"/>
      <c r="V27" s="254"/>
      <c r="W27" s="254"/>
      <c r="X27" s="254"/>
      <c r="Y27" s="254"/>
      <c r="Z27" s="254"/>
    </row>
    <row r="28" spans="1:26" ht="12.75" customHeight="1">
      <c r="A28" s="254"/>
      <c r="B28" s="779"/>
      <c r="C28" s="770"/>
      <c r="D28" s="770"/>
      <c r="E28" s="780"/>
      <c r="F28" s="770"/>
      <c r="G28" s="777"/>
      <c r="H28" s="261"/>
      <c r="I28" s="779"/>
      <c r="J28" s="770"/>
      <c r="K28" s="777"/>
      <c r="L28" s="780"/>
      <c r="M28" s="770"/>
      <c r="N28" s="777"/>
      <c r="O28" s="261"/>
      <c r="P28" s="254"/>
      <c r="Q28" s="254"/>
      <c r="R28" s="254"/>
      <c r="S28" s="254"/>
      <c r="T28" s="254"/>
      <c r="U28" s="254"/>
      <c r="V28" s="254"/>
      <c r="W28" s="254"/>
      <c r="X28" s="254"/>
      <c r="Y28" s="254"/>
      <c r="Z28" s="254"/>
    </row>
    <row r="29" spans="1:26" ht="12.75" customHeight="1">
      <c r="A29" s="254"/>
      <c r="B29" s="779"/>
      <c r="C29" s="770"/>
      <c r="D29" s="770"/>
      <c r="E29" s="780"/>
      <c r="F29" s="770"/>
      <c r="G29" s="777"/>
      <c r="H29" s="261"/>
      <c r="I29" s="779"/>
      <c r="J29" s="770"/>
      <c r="K29" s="777"/>
      <c r="L29" s="780"/>
      <c r="M29" s="770"/>
      <c r="N29" s="777"/>
      <c r="O29" s="261"/>
      <c r="P29" s="254"/>
      <c r="Q29" s="254"/>
      <c r="R29" s="254"/>
      <c r="S29" s="254"/>
      <c r="T29" s="254"/>
      <c r="U29" s="254"/>
      <c r="V29" s="254"/>
      <c r="W29" s="254"/>
      <c r="X29" s="254"/>
      <c r="Y29" s="254"/>
      <c r="Z29" s="254"/>
    </row>
    <row r="30" spans="1:26" ht="12.75" customHeight="1">
      <c r="A30" s="254"/>
      <c r="B30" s="779"/>
      <c r="C30" s="770"/>
      <c r="D30" s="770"/>
      <c r="E30" s="780"/>
      <c r="F30" s="770"/>
      <c r="G30" s="777"/>
      <c r="H30" s="261"/>
      <c r="I30" s="779"/>
      <c r="J30" s="770"/>
      <c r="K30" s="777"/>
      <c r="L30" s="780"/>
      <c r="M30" s="770"/>
      <c r="N30" s="777"/>
      <c r="O30" s="261"/>
      <c r="P30" s="254"/>
      <c r="Q30" s="254"/>
      <c r="R30" s="254"/>
      <c r="S30" s="254"/>
      <c r="T30" s="254"/>
      <c r="U30" s="254"/>
      <c r="V30" s="254"/>
      <c r="W30" s="254"/>
      <c r="X30" s="254"/>
      <c r="Y30" s="254"/>
      <c r="Z30" s="254"/>
    </row>
    <row r="31" spans="1:26" ht="12.75" customHeight="1">
      <c r="A31" s="254"/>
      <c r="B31" s="789" t="s">
        <v>152</v>
      </c>
      <c r="C31" s="770"/>
      <c r="D31" s="770"/>
      <c r="E31" s="770"/>
      <c r="F31" s="770"/>
      <c r="G31" s="777"/>
      <c r="H31" s="263">
        <f>SUM(H10:H30)</f>
        <v>0</v>
      </c>
      <c r="I31" s="783" t="s">
        <v>153</v>
      </c>
      <c r="J31" s="770"/>
      <c r="K31" s="770"/>
      <c r="L31" s="770"/>
      <c r="M31" s="770"/>
      <c r="N31" s="777"/>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90" t="s">
        <v>154</v>
      </c>
      <c r="C33" s="770"/>
      <c r="D33" s="768"/>
      <c r="E33" s="791" t="s">
        <v>155</v>
      </c>
      <c r="F33" s="768"/>
      <c r="G33" s="792" t="s">
        <v>156</v>
      </c>
      <c r="H33" s="768"/>
      <c r="I33" s="790" t="s">
        <v>154</v>
      </c>
      <c r="J33" s="770"/>
      <c r="K33" s="768"/>
      <c r="L33" s="791" t="s">
        <v>155</v>
      </c>
      <c r="M33" s="768"/>
      <c r="N33" s="792" t="s">
        <v>156</v>
      </c>
      <c r="O33" s="768"/>
      <c r="P33" s="254"/>
      <c r="Q33" s="254"/>
      <c r="R33" s="254"/>
      <c r="S33" s="254"/>
      <c r="T33" s="254"/>
      <c r="U33" s="254"/>
      <c r="V33" s="254"/>
      <c r="W33" s="254"/>
      <c r="X33" s="254"/>
      <c r="Y33" s="254"/>
      <c r="Z33" s="254"/>
    </row>
    <row r="34" spans="1:26" ht="12.75" customHeight="1">
      <c r="A34" s="254"/>
      <c r="B34" s="788">
        <f>M5</f>
        <v>1573406</v>
      </c>
      <c r="C34" s="770"/>
      <c r="D34" s="768"/>
      <c r="E34" s="788">
        <f>H31</f>
        <v>0</v>
      </c>
      <c r="F34" s="768"/>
      <c r="G34" s="788">
        <f>B34-E34</f>
        <v>1573406</v>
      </c>
      <c r="H34" s="768"/>
      <c r="I34" s="788">
        <f>SUM(M5,M6)</f>
        <v>1573406</v>
      </c>
      <c r="J34" s="770"/>
      <c r="K34" s="768"/>
      <c r="L34" s="788">
        <f>O31</f>
        <v>0</v>
      </c>
      <c r="M34" s="768"/>
      <c r="N34" s="788">
        <f>I34-L34</f>
        <v>1573406</v>
      </c>
      <c r="O34" s="768"/>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3" t="s">
        <v>157</v>
      </c>
      <c r="C36" s="770"/>
      <c r="D36" s="770"/>
      <c r="E36" s="770"/>
      <c r="F36" s="770"/>
      <c r="G36" s="770"/>
      <c r="H36" s="768"/>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4"/>
      <c r="C37" s="795"/>
      <c r="D37" s="796"/>
      <c r="E37" s="788"/>
      <c r="F37" s="770"/>
      <c r="G37" s="770"/>
      <c r="H37" s="768"/>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4"/>
      <c r="C38" s="795"/>
      <c r="D38" s="796"/>
      <c r="E38" s="797"/>
      <c r="F38" s="798"/>
      <c r="G38" s="798"/>
      <c r="H38" s="799"/>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4"/>
      <c r="C39" s="795"/>
      <c r="D39" s="796"/>
      <c r="E39" s="788"/>
      <c r="F39" s="800"/>
      <c r="G39" s="800"/>
      <c r="H39" s="801"/>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4"/>
      <c r="C40" s="795"/>
      <c r="D40" s="796"/>
      <c r="E40" s="788"/>
      <c r="F40" s="800"/>
      <c r="G40" s="800"/>
      <c r="H40" s="801"/>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3" t="s">
        <v>158</v>
      </c>
      <c r="C41" s="770"/>
      <c r="D41" s="770"/>
      <c r="E41" s="770"/>
      <c r="F41" s="770"/>
      <c r="G41" s="770"/>
      <c r="H41" s="768"/>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02"/>
      <c r="C42" s="768"/>
      <c r="D42" s="264"/>
      <c r="E42" s="804"/>
      <c r="F42" s="805"/>
      <c r="G42" s="805"/>
      <c r="H42" s="806"/>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02"/>
      <c r="C43" s="768"/>
      <c r="D43" s="264"/>
      <c r="E43" s="788"/>
      <c r="F43" s="770"/>
      <c r="G43" s="770"/>
      <c r="H43" s="768"/>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02"/>
      <c r="C44" s="768"/>
      <c r="D44" s="265"/>
      <c r="E44" s="788"/>
      <c r="F44" s="770"/>
      <c r="G44" s="770"/>
      <c r="H44" s="768"/>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02"/>
      <c r="C45" s="768"/>
      <c r="D45" s="265"/>
      <c r="E45" s="788"/>
      <c r="F45" s="770"/>
      <c r="G45" s="770"/>
      <c r="H45" s="768"/>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02"/>
      <c r="C46" s="768"/>
      <c r="D46" s="265"/>
      <c r="E46" s="788"/>
      <c r="F46" s="770"/>
      <c r="G46" s="770"/>
      <c r="H46" s="768"/>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02"/>
      <c r="C47" s="768"/>
      <c r="D47" s="265"/>
      <c r="E47" s="803"/>
      <c r="F47" s="770"/>
      <c r="G47" s="770"/>
      <c r="H47" s="768"/>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7" t="s">
        <v>0</v>
      </c>
      <c r="B1" s="807"/>
      <c r="C1" s="807"/>
      <c r="D1" s="807"/>
      <c r="E1" s="807"/>
      <c r="F1" s="807"/>
      <c r="G1" s="807"/>
      <c r="H1" s="807"/>
      <c r="I1" s="807"/>
      <c r="J1" s="807"/>
      <c r="K1" s="807"/>
      <c r="L1" s="807"/>
      <c r="M1" s="807"/>
      <c r="N1" s="807"/>
      <c r="O1" s="807"/>
      <c r="P1" s="807"/>
      <c r="Q1" s="807"/>
      <c r="R1" s="807"/>
      <c r="S1" s="807"/>
      <c r="T1" s="807"/>
      <c r="U1" s="807"/>
      <c r="V1" s="807"/>
      <c r="W1" s="807"/>
      <c r="X1" s="807"/>
      <c r="Y1" s="807"/>
      <c r="Z1" s="807"/>
      <c r="AA1" s="807"/>
      <c r="AB1" s="807"/>
      <c r="AC1" s="807"/>
      <c r="AD1" s="807"/>
      <c r="AE1" s="807"/>
      <c r="AF1" s="807"/>
      <c r="AG1" s="807"/>
      <c r="AH1" s="807"/>
      <c r="AI1" s="807"/>
      <c r="AJ1" s="807"/>
      <c r="AK1" s="807"/>
      <c r="AL1" s="807"/>
      <c r="AM1" s="807"/>
      <c r="AN1" s="807"/>
      <c r="AO1" s="807"/>
      <c r="AP1" s="807"/>
      <c r="AQ1" s="807"/>
      <c r="AR1" s="807"/>
      <c r="AS1" s="807"/>
      <c r="AT1" s="807"/>
      <c r="AU1" s="807"/>
      <c r="AV1" s="807"/>
      <c r="AW1" s="807"/>
      <c r="AX1" s="807"/>
      <c r="AY1" s="807"/>
      <c r="AZ1" s="807"/>
      <c r="BA1" s="807"/>
      <c r="BB1" s="807"/>
      <c r="BC1" s="807"/>
      <c r="BD1" s="807"/>
      <c r="BE1" s="807"/>
      <c r="BF1" s="807"/>
      <c r="BG1" s="807"/>
      <c r="BH1" s="807"/>
      <c r="BI1" s="807"/>
      <c r="BJ1" s="807"/>
      <c r="BK1" s="807"/>
      <c r="BL1" s="807"/>
      <c r="BM1" s="807"/>
      <c r="BN1" s="807"/>
    </row>
    <row r="2" spans="1:83" ht="12" customHeight="1">
      <c r="A2" s="807"/>
      <c r="B2" s="807"/>
      <c r="C2" s="807"/>
      <c r="D2" s="807"/>
      <c r="E2" s="807"/>
      <c r="F2" s="807"/>
      <c r="G2" s="807"/>
      <c r="H2" s="807"/>
      <c r="I2" s="807"/>
      <c r="J2" s="807"/>
      <c r="K2" s="807"/>
      <c r="L2" s="807"/>
      <c r="M2" s="807"/>
      <c r="N2" s="807"/>
      <c r="O2" s="807"/>
      <c r="P2" s="807"/>
      <c r="Q2" s="807"/>
      <c r="R2" s="807"/>
      <c r="S2" s="807"/>
      <c r="T2" s="807"/>
      <c r="U2" s="807"/>
      <c r="V2" s="807"/>
      <c r="W2" s="807"/>
      <c r="X2" s="807"/>
      <c r="Y2" s="807"/>
      <c r="Z2" s="807"/>
      <c r="AA2" s="807"/>
      <c r="AB2" s="807"/>
      <c r="AC2" s="807"/>
      <c r="AD2" s="807"/>
      <c r="AE2" s="807"/>
      <c r="AF2" s="807"/>
      <c r="AG2" s="807"/>
      <c r="AH2" s="807"/>
      <c r="AI2" s="807"/>
      <c r="AJ2" s="807"/>
      <c r="AK2" s="807"/>
      <c r="AL2" s="807"/>
      <c r="AM2" s="807"/>
      <c r="AN2" s="807"/>
      <c r="AO2" s="807"/>
      <c r="AP2" s="807"/>
      <c r="AQ2" s="807"/>
      <c r="AR2" s="807"/>
      <c r="AS2" s="807"/>
      <c r="AT2" s="807"/>
      <c r="AU2" s="807"/>
      <c r="AV2" s="807"/>
      <c r="AW2" s="807"/>
      <c r="AX2" s="807"/>
      <c r="AY2" s="807"/>
      <c r="AZ2" s="807"/>
      <c r="BA2" s="807"/>
      <c r="BB2" s="807"/>
      <c r="BC2" s="807"/>
      <c r="BD2" s="807"/>
      <c r="BE2" s="807"/>
      <c r="BF2" s="807"/>
      <c r="BG2" s="807"/>
      <c r="BH2" s="807"/>
      <c r="BI2" s="807"/>
      <c r="BJ2" s="807"/>
      <c r="BK2" s="807"/>
      <c r="BL2" s="807"/>
      <c r="BM2" s="807"/>
      <c r="BN2" s="807"/>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8" t="str">
        <f>+注文書!B4</f>
        <v>株式会社ＬｉｎＫ</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f>+注文書!AA4</f>
        <v>2024</v>
      </c>
      <c r="AB4" s="732"/>
      <c r="AC4" s="732"/>
      <c r="AD4" s="732"/>
      <c r="AE4" s="733" t="s">
        <v>3</v>
      </c>
      <c r="AF4" s="733"/>
      <c r="AG4" s="732">
        <f>+注文書!AG4</f>
        <v>4</v>
      </c>
      <c r="AH4" s="732"/>
      <c r="AI4" s="733" t="s">
        <v>4</v>
      </c>
      <c r="AJ4" s="733"/>
      <c r="AK4" s="732">
        <f>+注文書!AK4</f>
        <v>12</v>
      </c>
      <c r="AL4" s="732"/>
      <c r="AM4" s="733" t="s">
        <v>6</v>
      </c>
      <c r="AN4" s="733"/>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8" t="s">
        <v>7</v>
      </c>
      <c r="BA6" s="808"/>
      <c r="BB6" s="808"/>
      <c r="BC6" s="808"/>
      <c r="BD6" s="808"/>
      <c r="BE6" s="810" t="s">
        <v>8</v>
      </c>
      <c r="BF6" s="811"/>
      <c r="BG6" s="811"/>
      <c r="BH6" s="811"/>
      <c r="BI6" s="811"/>
      <c r="BJ6" s="810" t="s">
        <v>9</v>
      </c>
      <c r="BK6" s="811"/>
      <c r="BL6" s="811"/>
      <c r="BM6" s="811"/>
      <c r="BN6" s="812"/>
    </row>
    <row r="7" spans="1:83" ht="18" customHeight="1">
      <c r="A7" s="739" t="s">
        <v>10</v>
      </c>
      <c r="B7" s="739"/>
      <c r="C7" s="739"/>
      <c r="D7" s="739"/>
      <c r="E7" s="739"/>
      <c r="F7" s="739"/>
      <c r="G7" s="739"/>
      <c r="H7" s="739"/>
      <c r="I7" s="739"/>
      <c r="J7" s="31" t="s">
        <v>72</v>
      </c>
      <c r="K7" s="740" t="str">
        <f>+注文書!K7</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4"/>
      <c r="AU7" s="4"/>
      <c r="AV7" s="4"/>
      <c r="AW7" s="4"/>
      <c r="AX7" s="4"/>
      <c r="AY7" s="4"/>
      <c r="AZ7" s="808" t="s">
        <v>11</v>
      </c>
      <c r="BA7" s="808"/>
      <c r="BB7" s="808"/>
      <c r="BC7" s="808"/>
      <c r="BD7" s="808"/>
      <c r="BE7" s="808" t="s">
        <v>12</v>
      </c>
      <c r="BF7" s="808"/>
      <c r="BG7" s="808"/>
      <c r="BH7" s="808"/>
      <c r="BI7" s="808"/>
      <c r="BJ7" s="808" t="s">
        <v>13</v>
      </c>
      <c r="BK7" s="808"/>
      <c r="BL7" s="808"/>
      <c r="BM7" s="808"/>
      <c r="BN7" s="808"/>
    </row>
    <row r="8" spans="1:83" ht="18" customHeight="1">
      <c r="A8" s="734" t="s">
        <v>14</v>
      </c>
      <c r="B8" s="734"/>
      <c r="C8" s="734"/>
      <c r="D8" s="734"/>
      <c r="E8" s="734"/>
      <c r="F8" s="734"/>
      <c r="G8" s="734"/>
      <c r="H8" s="734"/>
      <c r="I8" s="734"/>
      <c r="J8" s="10" t="s">
        <v>72</v>
      </c>
      <c r="K8" s="741" t="str">
        <f>+注文書!K8</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4"/>
      <c r="AR8" s="4"/>
      <c r="AS8" s="4"/>
      <c r="AT8" s="4"/>
      <c r="AU8" s="4"/>
      <c r="AV8" s="4"/>
      <c r="AW8" s="4"/>
      <c r="AX8" s="4"/>
      <c r="AY8" s="4"/>
      <c r="AZ8" s="745"/>
      <c r="BA8" s="745"/>
      <c r="BB8" s="745"/>
      <c r="BC8" s="745"/>
      <c r="BD8" s="745"/>
      <c r="BE8" s="745"/>
      <c r="BF8" s="745"/>
      <c r="BG8" s="745"/>
      <c r="BH8" s="745"/>
      <c r="BI8" s="745"/>
      <c r="BJ8" s="745"/>
      <c r="BK8" s="745"/>
      <c r="BL8" s="745"/>
      <c r="BM8" s="745"/>
      <c r="BN8" s="745"/>
    </row>
    <row r="9" spans="1:83" ht="18" customHeight="1">
      <c r="A9" s="734" t="s">
        <v>15</v>
      </c>
      <c r="B9" s="734"/>
      <c r="C9" s="734"/>
      <c r="D9" s="734"/>
      <c r="E9" s="734"/>
      <c r="F9" s="734"/>
      <c r="G9" s="734"/>
      <c r="H9" s="734"/>
      <c r="I9" s="734"/>
      <c r="J9" s="10" t="s">
        <v>72</v>
      </c>
      <c r="K9" s="809" t="str">
        <f>+注文書!K9</f>
        <v>2024年5月　～　2024年5月末</v>
      </c>
      <c r="L9" s="809"/>
      <c r="M9" s="809"/>
      <c r="N9" s="809"/>
      <c r="O9" s="809"/>
      <c r="P9" s="809"/>
      <c r="Q9" s="809"/>
      <c r="R9" s="809"/>
      <c r="S9" s="809"/>
      <c r="T9" s="809"/>
      <c r="U9" s="809"/>
      <c r="V9" s="809"/>
      <c r="W9" s="809"/>
      <c r="X9" s="809"/>
      <c r="Y9" s="809"/>
      <c r="Z9" s="809"/>
      <c r="AA9" s="809"/>
      <c r="AB9" s="36"/>
      <c r="AC9" s="36"/>
      <c r="AD9" s="36"/>
      <c r="AE9" s="36"/>
      <c r="AF9" s="5"/>
      <c r="AG9" s="5"/>
      <c r="AH9" s="5"/>
      <c r="AI9" s="5"/>
      <c r="AJ9" s="5"/>
      <c r="AK9" s="4"/>
      <c r="AL9" s="4"/>
      <c r="AM9" s="4"/>
      <c r="AN9" s="4"/>
      <c r="AO9" s="4"/>
      <c r="AP9" s="4"/>
      <c r="AQ9" s="4"/>
      <c r="AR9" s="4"/>
      <c r="AS9" s="4"/>
      <c r="AT9" s="4"/>
      <c r="AU9" s="4"/>
      <c r="AV9" s="4"/>
      <c r="AW9" s="4"/>
      <c r="AX9" s="4"/>
      <c r="AY9" s="4"/>
      <c r="AZ9" s="745"/>
      <c r="BA9" s="745"/>
      <c r="BB9" s="745"/>
      <c r="BC9" s="745"/>
      <c r="BD9" s="745"/>
      <c r="BE9" s="745"/>
      <c r="BF9" s="745"/>
      <c r="BG9" s="745"/>
      <c r="BH9" s="745"/>
      <c r="BI9" s="745"/>
      <c r="BJ9" s="745"/>
      <c r="BK9" s="745"/>
      <c r="BL9" s="745"/>
      <c r="BM9" s="745"/>
      <c r="BN9" s="745"/>
    </row>
    <row r="10" spans="1:83" ht="18" customHeight="1">
      <c r="A10" s="734" t="s">
        <v>16</v>
      </c>
      <c r="B10" s="734"/>
      <c r="C10" s="734"/>
      <c r="D10" s="734"/>
      <c r="E10" s="734"/>
      <c r="F10" s="734"/>
      <c r="G10" s="734"/>
      <c r="H10" s="734"/>
      <c r="I10" s="734"/>
      <c r="J10" s="10" t="s">
        <v>72</v>
      </c>
      <c r="K10" s="735" t="s">
        <v>84</v>
      </c>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4"/>
      <c r="AR10" s="4"/>
      <c r="AS10" s="4"/>
      <c r="AT10" s="4"/>
      <c r="AU10" s="4"/>
      <c r="AV10" s="4"/>
      <c r="AW10" s="4"/>
      <c r="AX10" s="4"/>
      <c r="AY10" s="4"/>
      <c r="AZ10" s="745"/>
      <c r="BA10" s="745"/>
      <c r="BB10" s="745"/>
      <c r="BC10" s="745"/>
      <c r="BD10" s="745"/>
      <c r="BE10" s="745"/>
      <c r="BF10" s="745"/>
      <c r="BG10" s="745"/>
      <c r="BH10" s="745"/>
      <c r="BI10" s="745"/>
      <c r="BJ10" s="745"/>
      <c r="BK10" s="745"/>
      <c r="BL10" s="745"/>
      <c r="BM10" s="745"/>
      <c r="BN10" s="745"/>
    </row>
    <row r="11" spans="1:83" ht="18" customHeight="1">
      <c r="A11" s="734" t="s">
        <v>17</v>
      </c>
      <c r="B11" s="734"/>
      <c r="C11" s="734"/>
      <c r="D11" s="734"/>
      <c r="E11" s="734"/>
      <c r="F11" s="734"/>
      <c r="G11" s="734"/>
      <c r="H11" s="734"/>
      <c r="I11" s="734"/>
      <c r="J11" s="10" t="s">
        <v>72</v>
      </c>
      <c r="K11" s="736">
        <f>+注文書!K11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4" t="s">
        <v>93</v>
      </c>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c r="CA12" s="13"/>
      <c r="CB12" s="14"/>
      <c r="CC12" s="13"/>
      <c r="CD12" s="13"/>
      <c r="CE12" s="13"/>
    </row>
    <row r="13" spans="1:83"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row>
    <row r="14" spans="1:83"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row>
    <row r="15" spans="1:83" ht="8" customHeight="1">
      <c r="A15" s="745" t="str">
        <f>+注文書!A15</f>
        <v>直接工事費</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f>+注文書!AB15</f>
        <v>1</v>
      </c>
      <c r="AC15" s="748"/>
      <c r="AD15" s="748"/>
      <c r="AE15" s="748"/>
      <c r="AF15" s="748"/>
      <c r="AG15" s="748"/>
      <c r="AH15" s="748"/>
      <c r="AI15" s="749"/>
      <c r="AJ15" s="749"/>
      <c r="AK15" s="749"/>
      <c r="AL15" s="749"/>
      <c r="AM15" s="749"/>
      <c r="AN15" s="749"/>
      <c r="AO15" s="749"/>
      <c r="AP15" s="750">
        <f>+注文書!AP15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row>
    <row r="16" spans="1:83"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row>
    <row r="17" spans="1:83" ht="8" customHeight="1">
      <c r="A17" s="745" t="str">
        <f>+注文書!A17</f>
        <v>現場経費</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f>+注文書!AB17</f>
        <v>1</v>
      </c>
      <c r="AC17" s="748"/>
      <c r="AD17" s="748"/>
      <c r="AE17" s="748"/>
      <c r="AF17" s="748"/>
      <c r="AG17" s="748"/>
      <c r="AH17" s="748"/>
      <c r="AI17" s="749"/>
      <c r="AJ17" s="749"/>
      <c r="AK17" s="749"/>
      <c r="AL17" s="749"/>
      <c r="AM17" s="749"/>
      <c r="AN17" s="749"/>
      <c r="AO17" s="749"/>
      <c r="AP17" s="750">
        <f>+注文書!AP17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row>
    <row r="18" spans="1:83"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row>
    <row r="19" spans="1:83" ht="8" customHeight="1">
      <c r="A19" s="745" t="str">
        <f>+注文書!A19</f>
        <v>会社経費</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f>+注文書!AB19</f>
        <v>1</v>
      </c>
      <c r="AC19" s="748"/>
      <c r="AD19" s="748"/>
      <c r="AE19" s="748"/>
      <c r="AF19" s="748"/>
      <c r="AG19" s="748"/>
      <c r="AH19" s="748"/>
      <c r="AI19" s="757"/>
      <c r="AJ19" s="758"/>
      <c r="AK19" s="758"/>
      <c r="AL19" s="758"/>
      <c r="AM19" s="758"/>
      <c r="AN19" s="758"/>
      <c r="AO19" s="759"/>
      <c r="AP19" s="750">
        <f>+注文書!AP19</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row>
    <row r="20" spans="1:83"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row>
    <row r="21" spans="1:83" ht="8" customHeight="1">
      <c r="A21" s="745" t="str">
        <f>+注文書!A21</f>
        <v>現場管理費</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f>+注文書!AB21</f>
        <v>1</v>
      </c>
      <c r="AC21" s="748"/>
      <c r="AD21" s="748"/>
      <c r="AE21" s="748"/>
      <c r="AF21" s="748"/>
      <c r="AG21" s="748"/>
      <c r="AH21" s="748"/>
      <c r="AI21" s="756"/>
      <c r="AJ21" s="756"/>
      <c r="AK21" s="756"/>
      <c r="AL21" s="756"/>
      <c r="AM21" s="756"/>
      <c r="AN21" s="756"/>
      <c r="AO21" s="756"/>
      <c r="AP21" s="750">
        <f>+注文書!AP21</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row>
    <row r="22" spans="1:83"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row>
    <row r="23" spans="1:83"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row>
    <row r="24" spans="1:83"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row>
    <row r="25" spans="1:83"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row>
    <row r="26" spans="1:83"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row>
    <row r="27" spans="1:83"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row>
    <row r="28" spans="1:83"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row>
    <row r="29" spans="1:83"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row>
    <row r="30" spans="1:83"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row>
    <row r="31" spans="1:83"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row>
    <row r="32" spans="1:83"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row>
    <row r="33" spans="1:84"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row>
    <row r="34" spans="1:84"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row>
    <row r="35" spans="1:84" ht="8" customHeight="1">
      <c r="A35" s="751" t="s">
        <v>82</v>
      </c>
      <c r="B35" s="752"/>
      <c r="C35" s="752"/>
      <c r="D35" s="752"/>
      <c r="E35" s="752"/>
      <c r="F35" s="752"/>
      <c r="G35" s="752"/>
      <c r="H35" s="752"/>
      <c r="I35" s="752"/>
      <c r="J35" s="752"/>
      <c r="K35" s="752"/>
      <c r="L35" s="752"/>
      <c r="M35" s="752"/>
      <c r="N35" s="752"/>
      <c r="O35" s="753"/>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+注文書!AP35</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row>
    <row r="36" spans="1:84" ht="8" customHeight="1">
      <c r="A36" s="754"/>
      <c r="B36" s="743"/>
      <c r="C36" s="743"/>
      <c r="D36" s="743"/>
      <c r="E36" s="743"/>
      <c r="F36" s="743"/>
      <c r="G36" s="743"/>
      <c r="H36" s="743"/>
      <c r="I36" s="743"/>
      <c r="J36" s="743"/>
      <c r="K36" s="743"/>
      <c r="L36" s="743"/>
      <c r="M36" s="743"/>
      <c r="N36" s="743"/>
      <c r="O36" s="75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row>
    <row r="37" spans="1:84"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row>
    <row r="38" spans="1:84"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row>
    <row r="39" spans="1:84"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row>
    <row r="40" spans="1:84"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row>
    <row r="41" spans="1:84"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row>
    <row r="42" spans="1:84"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8" t="s">
        <v>68</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3"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8" t="s">
        <v>387</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f>請書!AA4</f>
        <v>2024</v>
      </c>
      <c r="AB4" s="732"/>
      <c r="AC4" s="732"/>
      <c r="AD4" s="732"/>
      <c r="AE4" s="733" t="s">
        <v>3</v>
      </c>
      <c r="AF4" s="733"/>
      <c r="AG4" s="732">
        <f>請書!AG4</f>
        <v>4</v>
      </c>
      <c r="AH4" s="732"/>
      <c r="AI4" s="733" t="s">
        <v>4</v>
      </c>
      <c r="AJ4" s="733"/>
      <c r="AK4" s="732">
        <f>請書!AK4</f>
        <v>12</v>
      </c>
      <c r="AL4" s="732"/>
      <c r="AM4" s="733" t="s">
        <v>6</v>
      </c>
      <c r="AN4" s="733"/>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9" t="s">
        <v>10</v>
      </c>
      <c r="B7" s="739"/>
      <c r="C7" s="739"/>
      <c r="D7" s="739"/>
      <c r="E7" s="739"/>
      <c r="F7" s="739"/>
      <c r="G7" s="739"/>
      <c r="H7" s="739"/>
      <c r="I7" s="739"/>
      <c r="J7" s="31" t="s">
        <v>72</v>
      </c>
      <c r="K7" s="740" t="str">
        <f>請書!K7</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4" t="s">
        <v>14</v>
      </c>
      <c r="B8" s="734"/>
      <c r="C8" s="734"/>
      <c r="D8" s="734"/>
      <c r="E8" s="734"/>
      <c r="F8" s="734"/>
      <c r="G8" s="734"/>
      <c r="H8" s="734"/>
      <c r="I8" s="734"/>
      <c r="J8" s="10" t="s">
        <v>72</v>
      </c>
      <c r="K8" s="741" t="str">
        <f>請書!K8</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4" t="s">
        <v>15</v>
      </c>
      <c r="B9" s="734"/>
      <c r="C9" s="734"/>
      <c r="D9" s="734"/>
      <c r="E9" s="734"/>
      <c r="F9" s="734"/>
      <c r="G9" s="734"/>
      <c r="H9" s="734"/>
      <c r="I9" s="734"/>
      <c r="J9" s="10" t="s">
        <v>72</v>
      </c>
      <c r="K9" s="742" t="str">
        <f>請書!K9</f>
        <v>2024年5月　～　2024年5月末</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t="s">
        <v>161</v>
      </c>
      <c r="AR9" s="730"/>
      <c r="AS9" s="730"/>
      <c r="AT9" s="730"/>
      <c r="AU9" s="266"/>
      <c r="AV9" s="4"/>
      <c r="AW9" s="4"/>
      <c r="AX9" s="4"/>
      <c r="AY9" s="4"/>
      <c r="AZ9" s="8"/>
      <c r="BA9" s="8"/>
      <c r="BB9" s="8"/>
      <c r="BC9" s="8"/>
      <c r="BD9" s="8"/>
      <c r="BE9" s="8"/>
      <c r="BF9" s="8"/>
      <c r="BG9" s="8"/>
      <c r="BH9" s="8"/>
      <c r="BI9" s="8"/>
      <c r="BJ9" s="8"/>
      <c r="BK9" s="8"/>
      <c r="BL9" s="8"/>
      <c r="BM9" s="8"/>
      <c r="BN9" s="8"/>
    </row>
    <row r="10" spans="1:83" ht="18" customHeight="1">
      <c r="A10" s="734" t="s">
        <v>16</v>
      </c>
      <c r="B10" s="734"/>
      <c r="C10" s="734"/>
      <c r="D10" s="734"/>
      <c r="E10" s="734"/>
      <c r="F10" s="734"/>
      <c r="G10" s="734"/>
      <c r="H10" s="734"/>
      <c r="I10" s="734"/>
      <c r="J10" s="10" t="s">
        <v>72</v>
      </c>
      <c r="K10" s="735">
        <f>請書!K10</f>
        <v>0</v>
      </c>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t="s">
        <v>85</v>
      </c>
      <c r="AR10" s="730"/>
      <c r="AS10" s="730"/>
      <c r="AT10" s="730"/>
      <c r="AU10" s="4"/>
      <c r="AV10" s="4"/>
      <c r="AW10" s="4"/>
      <c r="AX10" s="4"/>
      <c r="AY10" s="4"/>
      <c r="AZ10" s="8"/>
      <c r="BA10" s="8"/>
      <c r="BB10" s="8"/>
      <c r="BC10" s="8"/>
      <c r="BD10" s="8"/>
      <c r="BE10" s="8"/>
      <c r="BF10" s="8"/>
      <c r="BG10" s="8"/>
      <c r="BH10" s="8"/>
      <c r="BI10" s="8"/>
      <c r="BJ10" s="8"/>
      <c r="BK10" s="8"/>
      <c r="BL10" s="8"/>
      <c r="BM10" s="8"/>
      <c r="BN10" s="8"/>
    </row>
    <row r="11" spans="1:83" ht="18" customHeight="1">
      <c r="A11" s="734" t="s">
        <v>17</v>
      </c>
      <c r="B11" s="734"/>
      <c r="C11" s="734"/>
      <c r="D11" s="734"/>
      <c r="E11" s="734"/>
      <c r="F11" s="734"/>
      <c r="G11" s="734"/>
      <c r="H11" s="734"/>
      <c r="I11" s="734"/>
      <c r="J11" s="10" t="s">
        <v>72</v>
      </c>
      <c r="K11" s="736">
        <f>+AP41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t="s">
        <v>86</v>
      </c>
      <c r="AR11" s="738"/>
      <c r="AS11" s="738"/>
      <c r="AT11" s="738"/>
      <c r="AU11" s="11"/>
      <c r="AV11" s="11"/>
      <c r="AW11" s="11"/>
      <c r="AX11" s="11"/>
      <c r="AY11" s="11"/>
      <c r="AZ11" s="12"/>
      <c r="BA11" s="12"/>
      <c r="BB11" s="12"/>
      <c r="BC11" s="12"/>
      <c r="BD11" s="12"/>
      <c r="BE11" s="12"/>
      <c r="BF11" s="12"/>
      <c r="BG11" s="12"/>
      <c r="BH11" s="12"/>
      <c r="BI11" s="12"/>
      <c r="BJ11" s="12"/>
      <c r="BK11" s="12"/>
      <c r="BL11" s="743" t="s">
        <v>73</v>
      </c>
      <c r="BM11" s="743"/>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row>
    <row r="14" spans="1:83"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row>
    <row r="15" spans="1:83"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SUM(Ｓ表紙!I36:I55)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row>
    <row r="16" spans="1:83"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row>
    <row r="17" spans="1:83"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SUM(Ｓ表紙!I57)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row>
    <row r="18" spans="1:83"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row>
    <row r="19" spans="1:83"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Ｓ表紙!I56</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row>
    <row r="20" spans="1:83"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94</v>
      </c>
      <c r="CB20" s="17" t="s">
        <v>43</v>
      </c>
      <c r="CC20" s="16" t="s">
        <v>44</v>
      </c>
      <c r="CD20" s="13"/>
      <c r="CE20" s="13"/>
    </row>
    <row r="21" spans="1:83"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Ｓ表紙!I58</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row>
    <row r="22" spans="1:83"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row>
    <row r="23" spans="1:83"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row>
    <row r="24" spans="1:83"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row>
    <row r="25" spans="1:83"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row>
    <row r="26" spans="1:83"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row>
    <row r="27" spans="1:83"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row>
    <row r="28" spans="1:83"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row>
    <row r="29" spans="1:83"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row>
    <row r="30" spans="1:83"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row>
    <row r="31" spans="1:83"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row>
    <row r="32" spans="1:83"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row>
    <row r="33" spans="1:83"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row>
    <row r="34" spans="1:83"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row>
    <row r="35" spans="1:83"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row>
    <row r="36" spans="1:83"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row>
    <row r="37" spans="1:83"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row>
    <row r="38" spans="1:83"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row>
    <row r="39" spans="1:83"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row>
    <row r="40" spans="1:83"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row>
    <row r="41" spans="1:83"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row>
    <row r="42" spans="1:83"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8" t="s">
        <v>69</v>
      </c>
      <c r="B1" s="718"/>
      <c r="C1" s="718"/>
      <c r="D1" s="718"/>
      <c r="E1" s="718"/>
      <c r="F1" s="718"/>
      <c r="G1" s="718"/>
      <c r="H1" s="718"/>
      <c r="I1" s="718"/>
      <c r="J1" s="718"/>
      <c r="K1" s="718"/>
      <c r="L1" s="718"/>
      <c r="M1" s="718"/>
      <c r="N1" s="718"/>
      <c r="O1" s="718"/>
      <c r="P1" s="718"/>
      <c r="Q1" s="718"/>
      <c r="R1" s="718"/>
      <c r="S1" s="718"/>
      <c r="T1" s="718"/>
      <c r="U1" s="718"/>
      <c r="V1" s="718"/>
      <c r="W1" s="718"/>
      <c r="X1" s="718"/>
      <c r="Y1" s="718"/>
      <c r="Z1" s="718"/>
      <c r="AA1" s="718"/>
      <c r="AB1" s="718"/>
      <c r="AC1" s="718"/>
      <c r="AD1" s="718"/>
      <c r="AE1" s="718"/>
      <c r="AF1" s="718"/>
      <c r="AG1" s="718"/>
      <c r="AH1" s="718"/>
      <c r="AI1" s="718"/>
      <c r="AJ1" s="718"/>
      <c r="AK1" s="718"/>
      <c r="AL1" s="718"/>
      <c r="AM1" s="718"/>
      <c r="AN1" s="718"/>
      <c r="AO1" s="718"/>
      <c r="AP1" s="718"/>
      <c r="AQ1" s="718"/>
      <c r="AR1" s="718"/>
      <c r="AS1" s="718"/>
      <c r="AT1" s="718"/>
      <c r="AU1" s="718"/>
      <c r="AV1" s="718"/>
      <c r="AW1" s="718"/>
      <c r="AX1" s="718"/>
      <c r="AY1" s="718"/>
      <c r="AZ1" s="718"/>
      <c r="BA1" s="718"/>
      <c r="BB1" s="718"/>
      <c r="BC1" s="718"/>
      <c r="BD1" s="718"/>
      <c r="BE1" s="718"/>
      <c r="BF1" s="718"/>
      <c r="BG1" s="718"/>
      <c r="BH1" s="718"/>
      <c r="BI1" s="718"/>
      <c r="BJ1" s="718"/>
      <c r="BK1" s="718"/>
      <c r="BL1" s="718"/>
      <c r="BM1" s="718"/>
      <c r="BN1" s="718"/>
    </row>
    <row r="2" spans="1:85" ht="12" customHeight="1">
      <c r="A2" s="718"/>
      <c r="B2" s="718"/>
      <c r="C2" s="718"/>
      <c r="D2" s="718"/>
      <c r="E2" s="718"/>
      <c r="F2" s="718"/>
      <c r="G2" s="718"/>
      <c r="H2" s="718"/>
      <c r="I2" s="718"/>
      <c r="J2" s="718"/>
      <c r="K2" s="718"/>
      <c r="L2" s="718"/>
      <c r="M2" s="718"/>
      <c r="N2" s="718"/>
      <c r="O2" s="718"/>
      <c r="P2" s="718"/>
      <c r="Q2" s="718"/>
      <c r="R2" s="718"/>
      <c r="S2" s="718"/>
      <c r="T2" s="718"/>
      <c r="U2" s="718"/>
      <c r="V2" s="718"/>
      <c r="W2" s="718"/>
      <c r="X2" s="718"/>
      <c r="Y2" s="718"/>
      <c r="Z2" s="718"/>
      <c r="AA2" s="718"/>
      <c r="AB2" s="718"/>
      <c r="AC2" s="718"/>
      <c r="AD2" s="718"/>
      <c r="AE2" s="718"/>
      <c r="AF2" s="718"/>
      <c r="AG2" s="718"/>
      <c r="AH2" s="718"/>
      <c r="AI2" s="718"/>
      <c r="AJ2" s="718"/>
      <c r="AK2" s="718"/>
      <c r="AL2" s="718"/>
      <c r="AM2" s="718"/>
      <c r="AN2" s="718"/>
      <c r="AO2" s="718"/>
      <c r="AP2" s="718"/>
      <c r="AQ2" s="718"/>
      <c r="AR2" s="718"/>
      <c r="AS2" s="718"/>
      <c r="AT2" s="718"/>
      <c r="AU2" s="718"/>
      <c r="AV2" s="718"/>
      <c r="AW2" s="718"/>
      <c r="AX2" s="718"/>
      <c r="AY2" s="718"/>
      <c r="AZ2" s="718"/>
      <c r="BA2" s="718"/>
      <c r="BB2" s="718"/>
      <c r="BC2" s="718"/>
      <c r="BD2" s="718"/>
      <c r="BE2" s="718"/>
      <c r="BF2" s="718"/>
      <c r="BG2" s="718"/>
      <c r="BH2" s="718"/>
      <c r="BI2" s="718"/>
      <c r="BJ2" s="718"/>
      <c r="BK2" s="718"/>
      <c r="BL2" s="718"/>
      <c r="BM2" s="718"/>
      <c r="BN2" s="718"/>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9" t="s">
        <v>70</v>
      </c>
      <c r="AZ3" s="720"/>
      <c r="BA3" s="720"/>
      <c r="BB3" s="720"/>
      <c r="BC3" s="720"/>
      <c r="BD3" s="720"/>
      <c r="BE3" s="721"/>
      <c r="BF3" s="4"/>
      <c r="BG3" s="4"/>
      <c r="BH3" s="4"/>
      <c r="BI3" s="4"/>
      <c r="BJ3" s="4"/>
      <c r="BK3" s="4"/>
      <c r="BL3" s="4"/>
      <c r="BM3" s="4"/>
      <c r="BN3" s="4"/>
    </row>
    <row r="4" spans="1:85" ht="16.25" customHeight="1">
      <c r="A4" s="5"/>
      <c r="B4" s="728" t="str">
        <f>Ｓ表紙!C10</f>
        <v>吉野</v>
      </c>
      <c r="C4" s="728"/>
      <c r="D4" s="728"/>
      <c r="E4" s="728"/>
      <c r="F4" s="728"/>
      <c r="G4" s="728"/>
      <c r="H4" s="728"/>
      <c r="I4" s="728"/>
      <c r="J4" s="728"/>
      <c r="K4" s="728"/>
      <c r="L4" s="728"/>
      <c r="M4" s="728"/>
      <c r="N4" s="728"/>
      <c r="O4" s="728"/>
      <c r="P4" s="728"/>
      <c r="Q4" s="728"/>
      <c r="R4" s="728"/>
      <c r="S4" s="728"/>
      <c r="T4" s="728"/>
      <c r="U4" s="728"/>
      <c r="V4" s="730" t="s">
        <v>1</v>
      </c>
      <c r="W4" s="730"/>
      <c r="X4" s="5"/>
      <c r="Y4" s="5"/>
      <c r="Z4" s="5"/>
      <c r="AA4" s="732">
        <v>2024</v>
      </c>
      <c r="AB4" s="732"/>
      <c r="AC4" s="732"/>
      <c r="AD4" s="732"/>
      <c r="AE4" s="733" t="s">
        <v>3</v>
      </c>
      <c r="AF4" s="733"/>
      <c r="AG4" s="732">
        <v>4</v>
      </c>
      <c r="AH4" s="732"/>
      <c r="AI4" s="733" t="s">
        <v>4</v>
      </c>
      <c r="AJ4" s="733"/>
      <c r="AK4" s="732">
        <v>12</v>
      </c>
      <c r="AL4" s="732"/>
      <c r="AM4" s="733" t="s">
        <v>6</v>
      </c>
      <c r="AN4" s="733"/>
      <c r="AO4" s="4"/>
      <c r="AP4" s="4"/>
      <c r="AQ4" s="4"/>
      <c r="AR4" s="4"/>
      <c r="AS4" s="4"/>
      <c r="AT4" s="4"/>
      <c r="AU4" s="4"/>
      <c r="AV4" s="4"/>
      <c r="AW4" s="4"/>
      <c r="AX4" s="4"/>
      <c r="AY4" s="722"/>
      <c r="AZ4" s="723"/>
      <c r="BA4" s="723"/>
      <c r="BB4" s="723"/>
      <c r="BC4" s="723"/>
      <c r="BD4" s="723"/>
      <c r="BE4" s="724"/>
      <c r="BF4" s="4"/>
      <c r="BG4" s="4"/>
      <c r="BH4" s="4"/>
      <c r="BI4" s="4"/>
      <c r="BJ4" s="4"/>
      <c r="BK4" s="4"/>
      <c r="BL4" s="4"/>
      <c r="BM4" s="4"/>
      <c r="BN4" s="4"/>
    </row>
    <row r="5" spans="1:85" ht="16.25" customHeight="1" thickBot="1">
      <c r="A5" s="6"/>
      <c r="B5" s="729"/>
      <c r="C5" s="729"/>
      <c r="D5" s="729"/>
      <c r="E5" s="729"/>
      <c r="F5" s="729"/>
      <c r="G5" s="729"/>
      <c r="H5" s="729"/>
      <c r="I5" s="729"/>
      <c r="J5" s="729"/>
      <c r="K5" s="729"/>
      <c r="L5" s="729"/>
      <c r="M5" s="729"/>
      <c r="N5" s="729"/>
      <c r="O5" s="729"/>
      <c r="P5" s="729"/>
      <c r="Q5" s="729"/>
      <c r="R5" s="729"/>
      <c r="S5" s="729"/>
      <c r="T5" s="729"/>
      <c r="U5" s="729"/>
      <c r="V5" s="731"/>
      <c r="W5" s="731"/>
      <c r="X5" s="6"/>
      <c r="Y5" s="5"/>
      <c r="Z5" s="5"/>
      <c r="AA5" s="732"/>
      <c r="AB5" s="732"/>
      <c r="AC5" s="732"/>
      <c r="AD5" s="732"/>
      <c r="AE5" s="733"/>
      <c r="AF5" s="733"/>
      <c r="AG5" s="732"/>
      <c r="AH5" s="732"/>
      <c r="AI5" s="733"/>
      <c r="AJ5" s="733"/>
      <c r="AK5" s="732"/>
      <c r="AL5" s="732"/>
      <c r="AM5" s="733"/>
      <c r="AN5" s="733"/>
      <c r="AO5" s="4"/>
      <c r="AP5" s="4"/>
      <c r="AQ5" s="4"/>
      <c r="AR5" s="4"/>
      <c r="AS5" s="4"/>
      <c r="AT5" s="4"/>
      <c r="AU5" s="4"/>
      <c r="AV5" s="4"/>
      <c r="AW5" s="4"/>
      <c r="AX5" s="4"/>
      <c r="AY5" s="722"/>
      <c r="AZ5" s="723"/>
      <c r="BA5" s="723"/>
      <c r="BB5" s="723"/>
      <c r="BC5" s="723"/>
      <c r="BD5" s="723"/>
      <c r="BE5" s="724"/>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5"/>
      <c r="AZ6" s="726"/>
      <c r="BA6" s="726"/>
      <c r="BB6" s="726"/>
      <c r="BC6" s="726"/>
      <c r="BD6" s="726"/>
      <c r="BE6" s="727"/>
      <c r="BF6" s="9"/>
      <c r="BG6" s="9"/>
      <c r="BH6" s="9"/>
      <c r="BI6" s="9"/>
      <c r="BJ6" s="9"/>
      <c r="BK6" s="9"/>
      <c r="BL6" s="9"/>
      <c r="BM6" s="9"/>
      <c r="BN6" s="9"/>
    </row>
    <row r="7" spans="1:85" ht="18" customHeight="1">
      <c r="A7" s="739" t="s">
        <v>10</v>
      </c>
      <c r="B7" s="739"/>
      <c r="C7" s="739"/>
      <c r="D7" s="739"/>
      <c r="E7" s="739"/>
      <c r="F7" s="739"/>
      <c r="G7" s="739"/>
      <c r="H7" s="739"/>
      <c r="I7" s="739"/>
      <c r="J7" s="31" t="s">
        <v>72</v>
      </c>
      <c r="K7" s="740" t="str">
        <f>Ｓ表紙!D22</f>
        <v>東京都港区南麻布</v>
      </c>
      <c r="L7" s="740"/>
      <c r="M7" s="740"/>
      <c r="N7" s="740"/>
      <c r="O7" s="740"/>
      <c r="P7" s="740"/>
      <c r="Q7" s="740"/>
      <c r="R7" s="740"/>
      <c r="S7" s="740"/>
      <c r="T7" s="740"/>
      <c r="U7" s="740"/>
      <c r="V7" s="740"/>
      <c r="W7" s="740"/>
      <c r="X7" s="740"/>
      <c r="Y7" s="740"/>
      <c r="Z7" s="740"/>
      <c r="AA7" s="740"/>
      <c r="AB7" s="740"/>
      <c r="AC7" s="740"/>
      <c r="AD7" s="740"/>
      <c r="AE7" s="740"/>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4" t="s">
        <v>14</v>
      </c>
      <c r="B8" s="734"/>
      <c r="C8" s="734"/>
      <c r="D8" s="734"/>
      <c r="E8" s="734"/>
      <c r="F8" s="734"/>
      <c r="G8" s="734"/>
      <c r="H8" s="734"/>
      <c r="I8" s="734"/>
      <c r="J8" s="10" t="s">
        <v>72</v>
      </c>
      <c r="K8" s="741" t="str">
        <f>Ｓ表紙!D20</f>
        <v>吉野様邸 キッチンリフォーム</v>
      </c>
      <c r="L8" s="741"/>
      <c r="M8" s="741"/>
      <c r="N8" s="741"/>
      <c r="O8" s="741"/>
      <c r="P8" s="741"/>
      <c r="Q8" s="741"/>
      <c r="R8" s="741"/>
      <c r="S8" s="741"/>
      <c r="T8" s="741"/>
      <c r="U8" s="741"/>
      <c r="V8" s="741"/>
      <c r="W8" s="741"/>
      <c r="X8" s="741"/>
      <c r="Y8" s="741"/>
      <c r="Z8" s="741"/>
      <c r="AA8" s="741"/>
      <c r="AB8" s="741"/>
      <c r="AC8" s="741"/>
      <c r="AD8" s="741"/>
      <c r="AE8" s="741"/>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4" t="s">
        <v>15</v>
      </c>
      <c r="B9" s="734"/>
      <c r="C9" s="734"/>
      <c r="D9" s="734"/>
      <c r="E9" s="734"/>
      <c r="F9" s="734"/>
      <c r="G9" s="734"/>
      <c r="H9" s="734"/>
      <c r="I9" s="734"/>
      <c r="J9" s="10" t="s">
        <v>72</v>
      </c>
      <c r="K9" s="742" t="s">
        <v>168</v>
      </c>
      <c r="L9" s="742"/>
      <c r="M9" s="742"/>
      <c r="N9" s="742"/>
      <c r="O9" s="742"/>
      <c r="P9" s="742"/>
      <c r="Q9" s="742"/>
      <c r="R9" s="742"/>
      <c r="S9" s="742"/>
      <c r="T9" s="742"/>
      <c r="U9" s="742"/>
      <c r="V9" s="742"/>
      <c r="W9" s="742"/>
      <c r="X9" s="742"/>
      <c r="Y9" s="742"/>
      <c r="Z9" s="742"/>
      <c r="AA9" s="742"/>
      <c r="AB9" s="36"/>
      <c r="AC9" s="36"/>
      <c r="AD9" s="36"/>
      <c r="AE9" s="36"/>
      <c r="AF9" s="5"/>
      <c r="AG9" s="5"/>
      <c r="AH9" s="5"/>
      <c r="AI9" s="5"/>
      <c r="AJ9" s="5"/>
      <c r="AK9" s="4"/>
      <c r="AL9" s="4"/>
      <c r="AM9" s="4"/>
      <c r="AN9" s="4"/>
      <c r="AO9" s="4"/>
      <c r="AP9" s="4"/>
      <c r="AQ9" s="730"/>
      <c r="AR9" s="730"/>
      <c r="AS9" s="730"/>
      <c r="AT9" s="730"/>
      <c r="AU9" s="266"/>
      <c r="AV9" s="4"/>
      <c r="AW9" s="4"/>
      <c r="AX9" s="4"/>
      <c r="AY9" s="4"/>
      <c r="AZ9" s="8"/>
      <c r="BA9" s="8"/>
      <c r="BB9" s="8"/>
      <c r="BC9" s="8"/>
      <c r="BD9" s="8"/>
      <c r="BE9" s="8"/>
      <c r="BF9" s="8"/>
      <c r="BG9" s="8"/>
      <c r="BH9" s="8"/>
      <c r="BI9" s="8"/>
      <c r="BJ9" s="8"/>
      <c r="BK9" s="8"/>
      <c r="BL9" s="8"/>
      <c r="BM9" s="8"/>
      <c r="BN9" s="8"/>
    </row>
    <row r="10" spans="1:85" ht="18" customHeight="1">
      <c r="A10" s="734" t="s">
        <v>16</v>
      </c>
      <c r="B10" s="734"/>
      <c r="C10" s="734"/>
      <c r="D10" s="734"/>
      <c r="E10" s="734"/>
      <c r="F10" s="734"/>
      <c r="G10" s="734"/>
      <c r="H10" s="734"/>
      <c r="I10" s="734"/>
      <c r="J10" s="10" t="s">
        <v>72</v>
      </c>
      <c r="K10" s="735"/>
      <c r="L10" s="735"/>
      <c r="M10" s="735"/>
      <c r="N10" s="735"/>
      <c r="O10" s="735"/>
      <c r="P10" s="735"/>
      <c r="Q10" s="735"/>
      <c r="R10" s="735"/>
      <c r="S10" s="735"/>
      <c r="T10" s="735"/>
      <c r="U10" s="735"/>
      <c r="V10" s="735"/>
      <c r="W10" s="735"/>
      <c r="X10" s="735"/>
      <c r="Y10" s="735"/>
      <c r="Z10" s="735"/>
      <c r="AA10" s="735"/>
      <c r="AB10" s="735"/>
      <c r="AC10" s="735"/>
      <c r="AD10" s="735"/>
      <c r="AE10" s="735"/>
      <c r="AF10" s="5"/>
      <c r="AG10" s="5"/>
      <c r="AH10" s="5"/>
      <c r="AI10" s="5"/>
      <c r="AJ10" s="5"/>
      <c r="AK10" s="4"/>
      <c r="AL10" s="4"/>
      <c r="AM10" s="4"/>
      <c r="AN10" s="4"/>
      <c r="AO10" s="4"/>
      <c r="AP10" s="4"/>
      <c r="AQ10" s="730"/>
      <c r="AR10" s="730"/>
      <c r="AS10" s="730"/>
      <c r="AT10" s="730"/>
      <c r="AU10" s="4"/>
      <c r="AV10" s="4"/>
      <c r="AW10" s="4"/>
      <c r="AX10" s="4"/>
      <c r="AY10" s="4"/>
      <c r="AZ10" s="8"/>
      <c r="BA10" s="8"/>
      <c r="BB10" s="8"/>
      <c r="BC10" s="8"/>
      <c r="BD10" s="8"/>
      <c r="BE10" s="8"/>
      <c r="BF10" s="8"/>
      <c r="BG10" s="8"/>
      <c r="BH10" s="8"/>
      <c r="BI10" s="8"/>
      <c r="BJ10" s="8"/>
      <c r="BK10" s="8"/>
      <c r="BL10" s="8"/>
      <c r="BM10" s="8"/>
      <c r="BN10" s="8"/>
    </row>
    <row r="11" spans="1:85" ht="18" customHeight="1">
      <c r="A11" s="734" t="s">
        <v>17</v>
      </c>
      <c r="B11" s="734"/>
      <c r="C11" s="734"/>
      <c r="D11" s="734"/>
      <c r="E11" s="734"/>
      <c r="F11" s="734"/>
      <c r="G11" s="734"/>
      <c r="H11" s="734"/>
      <c r="I11" s="734"/>
      <c r="J11" s="10" t="s">
        <v>72</v>
      </c>
      <c r="K11" s="736">
        <f>+AP41</f>
        <v>1573406</v>
      </c>
      <c r="L11" s="736"/>
      <c r="M11" s="736"/>
      <c r="N11" s="736"/>
      <c r="O11" s="736"/>
      <c r="P11" s="736"/>
      <c r="Q11" s="736"/>
      <c r="R11" s="736"/>
      <c r="S11" s="736"/>
      <c r="T11" s="736"/>
      <c r="U11" s="736"/>
      <c r="V11" s="736"/>
      <c r="W11" s="736"/>
      <c r="X11" s="736"/>
      <c r="Y11" s="736"/>
      <c r="Z11" s="737" t="s">
        <v>18</v>
      </c>
      <c r="AA11" s="737"/>
      <c r="AB11" s="737"/>
      <c r="AC11" s="737"/>
      <c r="AD11" s="737"/>
      <c r="AE11" s="737"/>
      <c r="AF11" s="4"/>
      <c r="AG11" s="4"/>
      <c r="AH11" s="4"/>
      <c r="AI11" s="4"/>
      <c r="AJ11" s="4"/>
      <c r="AK11" s="4"/>
      <c r="AL11" s="4"/>
      <c r="AM11" s="4"/>
      <c r="AN11" s="4"/>
      <c r="AO11" s="4"/>
      <c r="AP11" s="4"/>
      <c r="AQ11" s="738"/>
      <c r="AR11" s="738"/>
      <c r="AS11" s="738"/>
      <c r="AT11" s="738"/>
      <c r="AU11" s="11"/>
      <c r="AV11" s="11"/>
      <c r="AW11" s="11"/>
      <c r="AX11" s="11"/>
      <c r="AY11" s="11"/>
      <c r="AZ11" s="12"/>
      <c r="BA11" s="12"/>
      <c r="BB11" s="12"/>
      <c r="BC11" s="12"/>
      <c r="BD11" s="12"/>
      <c r="BE11" s="12"/>
      <c r="BF11" s="12"/>
      <c r="BG11" s="12"/>
      <c r="BH11" s="12"/>
      <c r="BI11" s="12"/>
      <c r="BJ11" s="12"/>
      <c r="BK11" s="12"/>
      <c r="BL11" s="743"/>
      <c r="BM11" s="743"/>
      <c r="BN11" s="12"/>
    </row>
    <row r="12" spans="1:85" ht="16.25" customHeight="1">
      <c r="A12" s="744"/>
      <c r="B12" s="744"/>
      <c r="C12" s="744"/>
      <c r="D12" s="744"/>
      <c r="E12" s="744"/>
      <c r="F12" s="744"/>
      <c r="G12" s="744"/>
      <c r="H12" s="744"/>
      <c r="I12" s="744"/>
      <c r="J12" s="744"/>
      <c r="K12" s="744"/>
      <c r="L12" s="744"/>
      <c r="M12" s="744"/>
      <c r="N12" s="744"/>
      <c r="O12" s="744"/>
      <c r="P12" s="744"/>
      <c r="Q12" s="744"/>
      <c r="R12" s="744"/>
      <c r="S12" s="744"/>
      <c r="T12" s="744"/>
      <c r="U12" s="744"/>
      <c r="V12" s="744"/>
      <c r="W12" s="744"/>
      <c r="X12" s="744"/>
      <c r="Y12" s="744"/>
      <c r="Z12" s="744"/>
      <c r="AA12" s="744"/>
      <c r="AB12" s="744"/>
      <c r="AC12" s="744"/>
      <c r="AD12" s="744"/>
      <c r="AE12" s="744"/>
      <c r="AF12" s="744"/>
      <c r="AG12" s="744"/>
      <c r="AH12" s="744"/>
      <c r="AI12" s="744"/>
      <c r="AJ12" s="744"/>
      <c r="AK12" s="744"/>
      <c r="AL12" s="744"/>
      <c r="AM12" s="744"/>
      <c r="AN12" s="744"/>
      <c r="AO12" s="744"/>
      <c r="AP12" s="744"/>
      <c r="AQ12" s="744"/>
      <c r="AR12" s="744"/>
      <c r="AS12" s="744"/>
      <c r="AT12" s="744"/>
      <c r="AU12" s="744"/>
      <c r="AV12" s="744"/>
      <c r="AW12" s="744"/>
      <c r="AX12" s="744"/>
      <c r="AY12" s="744"/>
      <c r="AZ12" s="744"/>
      <c r="BA12" s="744"/>
      <c r="BB12" s="744"/>
      <c r="BC12" s="744"/>
      <c r="BD12" s="744"/>
      <c r="BE12" s="744"/>
      <c r="BF12" s="744"/>
      <c r="BG12" s="744"/>
      <c r="BH12" s="744"/>
      <c r="BI12" s="744"/>
      <c r="BJ12" s="744"/>
      <c r="BK12" s="744"/>
      <c r="BL12" s="744"/>
      <c r="BM12" s="744"/>
      <c r="BN12" s="744"/>
    </row>
    <row r="13" spans="1:85" ht="8" customHeight="1">
      <c r="A13" s="745" t="s">
        <v>24</v>
      </c>
      <c r="B13" s="745"/>
      <c r="C13" s="745"/>
      <c r="D13" s="745"/>
      <c r="E13" s="745"/>
      <c r="F13" s="745"/>
      <c r="G13" s="745"/>
      <c r="H13" s="745"/>
      <c r="I13" s="745"/>
      <c r="J13" s="745"/>
      <c r="K13" s="745"/>
      <c r="L13" s="745"/>
      <c r="M13" s="745"/>
      <c r="N13" s="745"/>
      <c r="O13" s="745"/>
      <c r="P13" s="745" t="s">
        <v>25</v>
      </c>
      <c r="Q13" s="745"/>
      <c r="R13" s="745"/>
      <c r="S13" s="745"/>
      <c r="T13" s="745"/>
      <c r="U13" s="745"/>
      <c r="V13" s="745"/>
      <c r="W13" s="745"/>
      <c r="X13" s="745"/>
      <c r="Y13" s="745" t="s">
        <v>26</v>
      </c>
      <c r="Z13" s="745"/>
      <c r="AA13" s="745"/>
      <c r="AB13" s="745" t="s">
        <v>27</v>
      </c>
      <c r="AC13" s="745"/>
      <c r="AD13" s="745"/>
      <c r="AE13" s="745"/>
      <c r="AF13" s="745"/>
      <c r="AG13" s="745"/>
      <c r="AH13" s="745"/>
      <c r="AI13" s="745" t="s">
        <v>28</v>
      </c>
      <c r="AJ13" s="745"/>
      <c r="AK13" s="745"/>
      <c r="AL13" s="745"/>
      <c r="AM13" s="745"/>
      <c r="AN13" s="745"/>
      <c r="AO13" s="745"/>
      <c r="AP13" s="745" t="s">
        <v>29</v>
      </c>
      <c r="AQ13" s="745"/>
      <c r="AR13" s="745"/>
      <c r="AS13" s="745"/>
      <c r="AT13" s="745"/>
      <c r="AU13" s="745"/>
      <c r="AV13" s="745"/>
      <c r="AW13" s="745"/>
      <c r="AX13" s="745"/>
      <c r="AY13" s="745"/>
      <c r="AZ13" s="745" t="s">
        <v>30</v>
      </c>
      <c r="BA13" s="745"/>
      <c r="BB13" s="745"/>
      <c r="BC13" s="745"/>
      <c r="BD13" s="745"/>
      <c r="BE13" s="745"/>
      <c r="BF13" s="745"/>
      <c r="BG13" s="745"/>
      <c r="BH13" s="745"/>
      <c r="BI13" s="745"/>
      <c r="BJ13" s="745"/>
      <c r="BK13" s="745"/>
      <c r="BL13" s="745"/>
      <c r="BM13" s="745"/>
      <c r="BN13" s="745"/>
      <c r="CA13" s="13"/>
      <c r="CB13" s="14"/>
      <c r="CC13" s="13"/>
      <c r="CD13" s="13"/>
      <c r="CE13" s="13"/>
      <c r="CF13" s="15"/>
      <c r="CG13" s="15"/>
    </row>
    <row r="14" spans="1:85" ht="8" customHeight="1">
      <c r="A14" s="745"/>
      <c r="B14" s="745"/>
      <c r="C14" s="745"/>
      <c r="D14" s="745"/>
      <c r="E14" s="745"/>
      <c r="F14" s="745"/>
      <c r="G14" s="745"/>
      <c r="H14" s="745"/>
      <c r="I14" s="745"/>
      <c r="J14" s="745"/>
      <c r="K14" s="745"/>
      <c r="L14" s="745"/>
      <c r="M14" s="745"/>
      <c r="N14" s="745"/>
      <c r="O14" s="745"/>
      <c r="P14" s="745"/>
      <c r="Q14" s="745"/>
      <c r="R14" s="745"/>
      <c r="S14" s="745"/>
      <c r="T14" s="745"/>
      <c r="U14" s="745"/>
      <c r="V14" s="745"/>
      <c r="W14" s="745"/>
      <c r="X14" s="745"/>
      <c r="Y14" s="745"/>
      <c r="Z14" s="745"/>
      <c r="AA14" s="745"/>
      <c r="AB14" s="745"/>
      <c r="AC14" s="745"/>
      <c r="AD14" s="745"/>
      <c r="AE14" s="745"/>
      <c r="AF14" s="745"/>
      <c r="AG14" s="745"/>
      <c r="AH14" s="745"/>
      <c r="AI14" s="745"/>
      <c r="AJ14" s="745"/>
      <c r="AK14" s="745"/>
      <c r="AL14" s="745"/>
      <c r="AM14" s="745"/>
      <c r="AN14" s="745"/>
      <c r="AO14" s="745"/>
      <c r="AP14" s="745"/>
      <c r="AQ14" s="745"/>
      <c r="AR14" s="745"/>
      <c r="AS14" s="745"/>
      <c r="AT14" s="745"/>
      <c r="AU14" s="745"/>
      <c r="AV14" s="745"/>
      <c r="AW14" s="745"/>
      <c r="AX14" s="745"/>
      <c r="AY14" s="745"/>
      <c r="AZ14" s="745"/>
      <c r="BA14" s="745"/>
      <c r="BB14" s="745"/>
      <c r="BC14" s="745"/>
      <c r="BD14" s="745"/>
      <c r="BE14" s="745"/>
      <c r="BF14" s="745"/>
      <c r="BG14" s="745"/>
      <c r="BH14" s="745"/>
      <c r="BI14" s="745"/>
      <c r="BJ14" s="745"/>
      <c r="BK14" s="745"/>
      <c r="BL14" s="745"/>
      <c r="BM14" s="745"/>
      <c r="BN14" s="745"/>
      <c r="CA14" s="16" t="s">
        <v>74</v>
      </c>
      <c r="CB14" s="17" t="s">
        <v>75</v>
      </c>
      <c r="CC14" s="16" t="s">
        <v>76</v>
      </c>
      <c r="CD14" s="13"/>
      <c r="CE14" s="13" t="s">
        <v>71</v>
      </c>
      <c r="CF14" s="15"/>
      <c r="CG14" s="15"/>
    </row>
    <row r="15" spans="1:85" ht="8" customHeight="1">
      <c r="A15" s="745" t="s">
        <v>87</v>
      </c>
      <c r="B15" s="745"/>
      <c r="C15" s="745"/>
      <c r="D15" s="745"/>
      <c r="E15" s="745"/>
      <c r="F15" s="745"/>
      <c r="G15" s="745"/>
      <c r="H15" s="745"/>
      <c r="I15" s="745"/>
      <c r="J15" s="745"/>
      <c r="K15" s="745"/>
      <c r="L15" s="745"/>
      <c r="M15" s="745"/>
      <c r="N15" s="745"/>
      <c r="O15" s="745"/>
      <c r="P15" s="747"/>
      <c r="Q15" s="747"/>
      <c r="R15" s="747"/>
      <c r="S15" s="747"/>
      <c r="T15" s="747"/>
      <c r="U15" s="747"/>
      <c r="V15" s="747"/>
      <c r="W15" s="747"/>
      <c r="X15" s="747"/>
      <c r="Y15" s="751" t="s">
        <v>88</v>
      </c>
      <c r="Z15" s="752"/>
      <c r="AA15" s="753"/>
      <c r="AB15" s="748">
        <v>1</v>
      </c>
      <c r="AC15" s="748"/>
      <c r="AD15" s="748"/>
      <c r="AE15" s="748"/>
      <c r="AF15" s="748"/>
      <c r="AG15" s="748"/>
      <c r="AH15" s="748"/>
      <c r="AI15" s="749"/>
      <c r="AJ15" s="749"/>
      <c r="AK15" s="749"/>
      <c r="AL15" s="749"/>
      <c r="AM15" s="749"/>
      <c r="AN15" s="749"/>
      <c r="AO15" s="749"/>
      <c r="AP15" s="750">
        <f>SUM(Ｓ表紙!I36:I55)</f>
        <v>1140400</v>
      </c>
      <c r="AQ15" s="750"/>
      <c r="AR15" s="750"/>
      <c r="AS15" s="750"/>
      <c r="AT15" s="750"/>
      <c r="AU15" s="750"/>
      <c r="AV15" s="750"/>
      <c r="AW15" s="750"/>
      <c r="AX15" s="750"/>
      <c r="AY15" s="750"/>
      <c r="AZ15" s="746"/>
      <c r="BA15" s="746"/>
      <c r="BB15" s="746"/>
      <c r="BC15" s="746"/>
      <c r="BD15" s="746"/>
      <c r="BE15" s="746"/>
      <c r="BF15" s="746"/>
      <c r="BG15" s="746"/>
      <c r="BH15" s="746"/>
      <c r="BI15" s="746"/>
      <c r="BJ15" s="746"/>
      <c r="BK15" s="746"/>
      <c r="BL15" s="746"/>
      <c r="BM15" s="746"/>
      <c r="BN15" s="746"/>
      <c r="CA15" s="16" t="s">
        <v>19</v>
      </c>
      <c r="CB15" s="17" t="s">
        <v>31</v>
      </c>
      <c r="CC15" s="16" t="s">
        <v>2</v>
      </c>
      <c r="CD15" s="13"/>
      <c r="CE15" s="13" t="s">
        <v>77</v>
      </c>
      <c r="CF15" s="15"/>
      <c r="CG15" s="15"/>
    </row>
    <row r="16" spans="1:85" ht="8" customHeight="1">
      <c r="A16" s="745"/>
      <c r="B16" s="745"/>
      <c r="C16" s="745"/>
      <c r="D16" s="745"/>
      <c r="E16" s="745"/>
      <c r="F16" s="745"/>
      <c r="G16" s="745"/>
      <c r="H16" s="745"/>
      <c r="I16" s="745"/>
      <c r="J16" s="745"/>
      <c r="K16" s="745"/>
      <c r="L16" s="745"/>
      <c r="M16" s="745"/>
      <c r="N16" s="745"/>
      <c r="O16" s="745"/>
      <c r="P16" s="747"/>
      <c r="Q16" s="747"/>
      <c r="R16" s="747"/>
      <c r="S16" s="747"/>
      <c r="T16" s="747"/>
      <c r="U16" s="747"/>
      <c r="V16" s="747"/>
      <c r="W16" s="747"/>
      <c r="X16" s="747"/>
      <c r="Y16" s="754"/>
      <c r="Z16" s="743"/>
      <c r="AA16" s="755"/>
      <c r="AB16" s="748"/>
      <c r="AC16" s="748"/>
      <c r="AD16" s="748"/>
      <c r="AE16" s="748"/>
      <c r="AF16" s="748"/>
      <c r="AG16" s="748"/>
      <c r="AH16" s="748"/>
      <c r="AI16" s="749"/>
      <c r="AJ16" s="749"/>
      <c r="AK16" s="749"/>
      <c r="AL16" s="749"/>
      <c r="AM16" s="749"/>
      <c r="AN16" s="749"/>
      <c r="AO16" s="749"/>
      <c r="AP16" s="750"/>
      <c r="AQ16" s="750"/>
      <c r="AR16" s="750"/>
      <c r="AS16" s="750"/>
      <c r="AT16" s="750"/>
      <c r="AU16" s="750"/>
      <c r="AV16" s="750"/>
      <c r="AW16" s="750"/>
      <c r="AX16" s="750"/>
      <c r="AY16" s="750"/>
      <c r="AZ16" s="746"/>
      <c r="BA16" s="746"/>
      <c r="BB16" s="746"/>
      <c r="BC16" s="746"/>
      <c r="BD16" s="746"/>
      <c r="BE16" s="746"/>
      <c r="BF16" s="746"/>
      <c r="BG16" s="746"/>
      <c r="BH16" s="746"/>
      <c r="BI16" s="746"/>
      <c r="BJ16" s="746"/>
      <c r="BK16" s="746"/>
      <c r="BL16" s="746"/>
      <c r="BM16" s="746"/>
      <c r="BN16" s="746"/>
      <c r="CA16" s="16" t="s">
        <v>32</v>
      </c>
      <c r="CB16" s="17" t="s">
        <v>33</v>
      </c>
      <c r="CC16" s="16" t="s">
        <v>34</v>
      </c>
      <c r="CD16" s="13"/>
      <c r="CE16" s="13" t="s">
        <v>78</v>
      </c>
      <c r="CF16" s="15"/>
      <c r="CG16" s="15"/>
    </row>
    <row r="17" spans="1:85" ht="8" customHeight="1">
      <c r="A17" s="745" t="s">
        <v>90</v>
      </c>
      <c r="B17" s="745"/>
      <c r="C17" s="745"/>
      <c r="D17" s="745"/>
      <c r="E17" s="745"/>
      <c r="F17" s="745"/>
      <c r="G17" s="745"/>
      <c r="H17" s="745"/>
      <c r="I17" s="745"/>
      <c r="J17" s="745"/>
      <c r="K17" s="745"/>
      <c r="L17" s="745"/>
      <c r="M17" s="745"/>
      <c r="N17" s="745"/>
      <c r="O17" s="745"/>
      <c r="P17" s="747"/>
      <c r="Q17" s="747"/>
      <c r="R17" s="747"/>
      <c r="S17" s="747"/>
      <c r="T17" s="747"/>
      <c r="U17" s="747"/>
      <c r="V17" s="747"/>
      <c r="W17" s="747"/>
      <c r="X17" s="747"/>
      <c r="Y17" s="745" t="s">
        <v>88</v>
      </c>
      <c r="Z17" s="745"/>
      <c r="AA17" s="745"/>
      <c r="AB17" s="748">
        <v>1</v>
      </c>
      <c r="AC17" s="748"/>
      <c r="AD17" s="748"/>
      <c r="AE17" s="748"/>
      <c r="AF17" s="748"/>
      <c r="AG17" s="748"/>
      <c r="AH17" s="748"/>
      <c r="AI17" s="749"/>
      <c r="AJ17" s="749"/>
      <c r="AK17" s="749"/>
      <c r="AL17" s="749"/>
      <c r="AM17" s="749"/>
      <c r="AN17" s="749"/>
      <c r="AO17" s="749"/>
      <c r="AP17" s="750">
        <f>SUM(Ｓ表紙!I57)</f>
        <v>57020</v>
      </c>
      <c r="AQ17" s="750"/>
      <c r="AR17" s="750"/>
      <c r="AS17" s="750"/>
      <c r="AT17" s="750"/>
      <c r="AU17" s="750"/>
      <c r="AV17" s="750"/>
      <c r="AW17" s="750"/>
      <c r="AX17" s="750"/>
      <c r="AY17" s="750"/>
      <c r="AZ17" s="746"/>
      <c r="BA17" s="746"/>
      <c r="BB17" s="746"/>
      <c r="BC17" s="746"/>
      <c r="BD17" s="746"/>
      <c r="BE17" s="746"/>
      <c r="BF17" s="746"/>
      <c r="BG17" s="746"/>
      <c r="BH17" s="746"/>
      <c r="BI17" s="746"/>
      <c r="BJ17" s="746"/>
      <c r="BK17" s="746"/>
      <c r="BL17" s="746"/>
      <c r="BM17" s="746"/>
      <c r="BN17" s="746"/>
      <c r="CA17" s="16" t="s">
        <v>23</v>
      </c>
      <c r="CB17" s="17" t="s">
        <v>35</v>
      </c>
      <c r="CC17" s="16" t="s">
        <v>36</v>
      </c>
      <c r="CD17" s="13"/>
      <c r="CE17" s="13" t="s">
        <v>79</v>
      </c>
      <c r="CF17" s="15"/>
      <c r="CG17" s="15"/>
    </row>
    <row r="18" spans="1:85" ht="8" customHeight="1">
      <c r="A18" s="745"/>
      <c r="B18" s="745"/>
      <c r="C18" s="745"/>
      <c r="D18" s="745"/>
      <c r="E18" s="745"/>
      <c r="F18" s="745"/>
      <c r="G18" s="745"/>
      <c r="H18" s="745"/>
      <c r="I18" s="745"/>
      <c r="J18" s="745"/>
      <c r="K18" s="745"/>
      <c r="L18" s="745"/>
      <c r="M18" s="745"/>
      <c r="N18" s="745"/>
      <c r="O18" s="745"/>
      <c r="P18" s="747"/>
      <c r="Q18" s="747"/>
      <c r="R18" s="747"/>
      <c r="S18" s="747"/>
      <c r="T18" s="747"/>
      <c r="U18" s="747"/>
      <c r="V18" s="747"/>
      <c r="W18" s="747"/>
      <c r="X18" s="747"/>
      <c r="Y18" s="745"/>
      <c r="Z18" s="745"/>
      <c r="AA18" s="745"/>
      <c r="AB18" s="748"/>
      <c r="AC18" s="748"/>
      <c r="AD18" s="748"/>
      <c r="AE18" s="748"/>
      <c r="AF18" s="748"/>
      <c r="AG18" s="748"/>
      <c r="AH18" s="748"/>
      <c r="AI18" s="749"/>
      <c r="AJ18" s="749"/>
      <c r="AK18" s="749"/>
      <c r="AL18" s="749"/>
      <c r="AM18" s="749"/>
      <c r="AN18" s="749"/>
      <c r="AO18" s="749"/>
      <c r="AP18" s="750"/>
      <c r="AQ18" s="750"/>
      <c r="AR18" s="750"/>
      <c r="AS18" s="750"/>
      <c r="AT18" s="750"/>
      <c r="AU18" s="750"/>
      <c r="AV18" s="750"/>
      <c r="AW18" s="750"/>
      <c r="AX18" s="750"/>
      <c r="AY18" s="750"/>
      <c r="AZ18" s="746"/>
      <c r="BA18" s="746"/>
      <c r="BB18" s="746"/>
      <c r="BC18" s="746"/>
      <c r="BD18" s="746"/>
      <c r="BE18" s="746"/>
      <c r="BF18" s="746"/>
      <c r="BG18" s="746"/>
      <c r="BH18" s="746"/>
      <c r="BI18" s="746"/>
      <c r="BJ18" s="746"/>
      <c r="BK18" s="746"/>
      <c r="BL18" s="746"/>
      <c r="BM18" s="746"/>
      <c r="BN18" s="746"/>
      <c r="CA18" s="16" t="s">
        <v>37</v>
      </c>
      <c r="CB18" s="17" t="s">
        <v>38</v>
      </c>
      <c r="CC18" s="16" t="s">
        <v>39</v>
      </c>
      <c r="CD18" s="13"/>
      <c r="CE18" s="13"/>
      <c r="CF18" s="15"/>
      <c r="CG18" s="15"/>
    </row>
    <row r="19" spans="1:85" ht="8" customHeight="1">
      <c r="A19" s="745" t="s">
        <v>136</v>
      </c>
      <c r="B19" s="745"/>
      <c r="C19" s="745"/>
      <c r="D19" s="745"/>
      <c r="E19" s="745"/>
      <c r="F19" s="745"/>
      <c r="G19" s="745"/>
      <c r="H19" s="745"/>
      <c r="I19" s="745"/>
      <c r="J19" s="745"/>
      <c r="K19" s="745"/>
      <c r="L19" s="745"/>
      <c r="M19" s="745"/>
      <c r="N19" s="745"/>
      <c r="O19" s="745"/>
      <c r="P19" s="747"/>
      <c r="Q19" s="747"/>
      <c r="R19" s="747"/>
      <c r="S19" s="747"/>
      <c r="T19" s="747"/>
      <c r="U19" s="747"/>
      <c r="V19" s="747"/>
      <c r="W19" s="747"/>
      <c r="X19" s="747"/>
      <c r="Y19" s="745" t="s">
        <v>88</v>
      </c>
      <c r="Z19" s="745"/>
      <c r="AA19" s="745"/>
      <c r="AB19" s="748">
        <v>1</v>
      </c>
      <c r="AC19" s="748"/>
      <c r="AD19" s="748"/>
      <c r="AE19" s="748"/>
      <c r="AF19" s="748"/>
      <c r="AG19" s="748"/>
      <c r="AH19" s="748"/>
      <c r="AI19" s="757"/>
      <c r="AJ19" s="758"/>
      <c r="AK19" s="758"/>
      <c r="AL19" s="758"/>
      <c r="AM19" s="758"/>
      <c r="AN19" s="758"/>
      <c r="AO19" s="759"/>
      <c r="AP19" s="750">
        <f>Ｓ表紙!I56</f>
        <v>114040</v>
      </c>
      <c r="AQ19" s="750"/>
      <c r="AR19" s="750"/>
      <c r="AS19" s="750"/>
      <c r="AT19" s="750"/>
      <c r="AU19" s="750"/>
      <c r="AV19" s="750"/>
      <c r="AW19" s="750"/>
      <c r="AX19" s="750"/>
      <c r="AY19" s="750"/>
      <c r="AZ19" s="746"/>
      <c r="BA19" s="746"/>
      <c r="BB19" s="746"/>
      <c r="BC19" s="746"/>
      <c r="BD19" s="746"/>
      <c r="BE19" s="746"/>
      <c r="BF19" s="746"/>
      <c r="BG19" s="746"/>
      <c r="BH19" s="746"/>
      <c r="BI19" s="746"/>
      <c r="BJ19" s="746"/>
      <c r="BK19" s="746"/>
      <c r="BL19" s="746"/>
      <c r="BM19" s="746"/>
      <c r="BN19" s="746"/>
      <c r="CA19" s="16" t="s">
        <v>40</v>
      </c>
      <c r="CB19" s="17" t="s">
        <v>20</v>
      </c>
      <c r="CC19" s="16" t="s">
        <v>41</v>
      </c>
      <c r="CD19" s="13"/>
      <c r="CE19" s="13"/>
      <c r="CF19" s="15"/>
      <c r="CG19" s="15"/>
    </row>
    <row r="20" spans="1:85" ht="8" customHeight="1">
      <c r="A20" s="745"/>
      <c r="B20" s="745"/>
      <c r="C20" s="745"/>
      <c r="D20" s="745"/>
      <c r="E20" s="745"/>
      <c r="F20" s="745"/>
      <c r="G20" s="745"/>
      <c r="H20" s="745"/>
      <c r="I20" s="745"/>
      <c r="J20" s="745"/>
      <c r="K20" s="745"/>
      <c r="L20" s="745"/>
      <c r="M20" s="745"/>
      <c r="N20" s="745"/>
      <c r="O20" s="745"/>
      <c r="P20" s="747"/>
      <c r="Q20" s="747"/>
      <c r="R20" s="747"/>
      <c r="S20" s="747"/>
      <c r="T20" s="747"/>
      <c r="U20" s="747"/>
      <c r="V20" s="747"/>
      <c r="W20" s="747"/>
      <c r="X20" s="747"/>
      <c r="Y20" s="745"/>
      <c r="Z20" s="745"/>
      <c r="AA20" s="745"/>
      <c r="AB20" s="748"/>
      <c r="AC20" s="748"/>
      <c r="AD20" s="748"/>
      <c r="AE20" s="748"/>
      <c r="AF20" s="748"/>
      <c r="AG20" s="748"/>
      <c r="AH20" s="748"/>
      <c r="AI20" s="760"/>
      <c r="AJ20" s="761"/>
      <c r="AK20" s="761"/>
      <c r="AL20" s="761"/>
      <c r="AM20" s="761"/>
      <c r="AN20" s="761"/>
      <c r="AO20" s="762"/>
      <c r="AP20" s="750"/>
      <c r="AQ20" s="750"/>
      <c r="AR20" s="750"/>
      <c r="AS20" s="750"/>
      <c r="AT20" s="750"/>
      <c r="AU20" s="750"/>
      <c r="AV20" s="750"/>
      <c r="AW20" s="750"/>
      <c r="AX20" s="750"/>
      <c r="AY20" s="750"/>
      <c r="AZ20" s="746"/>
      <c r="BA20" s="746"/>
      <c r="BB20" s="746"/>
      <c r="BC20" s="746"/>
      <c r="BD20" s="746"/>
      <c r="BE20" s="746"/>
      <c r="BF20" s="746"/>
      <c r="BG20" s="746"/>
      <c r="BH20" s="746"/>
      <c r="BI20" s="746"/>
      <c r="BJ20" s="746"/>
      <c r="BK20" s="746"/>
      <c r="BL20" s="746"/>
      <c r="BM20" s="746"/>
      <c r="BN20" s="746"/>
      <c r="CA20" s="16" t="s">
        <v>42</v>
      </c>
      <c r="CB20" s="17" t="s">
        <v>43</v>
      </c>
      <c r="CC20" s="16" t="s">
        <v>44</v>
      </c>
      <c r="CD20" s="13"/>
      <c r="CE20" s="13"/>
      <c r="CF20" s="15"/>
      <c r="CG20" s="15"/>
    </row>
    <row r="21" spans="1:85" ht="8" customHeight="1">
      <c r="A21" s="745" t="s">
        <v>113</v>
      </c>
      <c r="B21" s="745"/>
      <c r="C21" s="745"/>
      <c r="D21" s="745"/>
      <c r="E21" s="745"/>
      <c r="F21" s="745"/>
      <c r="G21" s="745"/>
      <c r="H21" s="745"/>
      <c r="I21" s="745"/>
      <c r="J21" s="745"/>
      <c r="K21" s="745"/>
      <c r="L21" s="745"/>
      <c r="M21" s="745"/>
      <c r="N21" s="745"/>
      <c r="O21" s="745"/>
      <c r="P21" s="747"/>
      <c r="Q21" s="747"/>
      <c r="R21" s="747"/>
      <c r="S21" s="747"/>
      <c r="T21" s="747"/>
      <c r="U21" s="747"/>
      <c r="V21" s="747"/>
      <c r="W21" s="747"/>
      <c r="X21" s="747"/>
      <c r="Y21" s="745" t="s">
        <v>88</v>
      </c>
      <c r="Z21" s="745"/>
      <c r="AA21" s="745"/>
      <c r="AB21" s="748">
        <v>1</v>
      </c>
      <c r="AC21" s="748"/>
      <c r="AD21" s="748"/>
      <c r="AE21" s="748"/>
      <c r="AF21" s="748"/>
      <c r="AG21" s="748"/>
      <c r="AH21" s="748"/>
      <c r="AI21" s="756"/>
      <c r="AJ21" s="756"/>
      <c r="AK21" s="756"/>
      <c r="AL21" s="756"/>
      <c r="AM21" s="756"/>
      <c r="AN21" s="756"/>
      <c r="AO21" s="756"/>
      <c r="AP21" s="750">
        <f>Ｓ表紙!I58</f>
        <v>125000</v>
      </c>
      <c r="AQ21" s="750"/>
      <c r="AR21" s="750"/>
      <c r="AS21" s="750"/>
      <c r="AT21" s="750"/>
      <c r="AU21" s="750"/>
      <c r="AV21" s="750"/>
      <c r="AW21" s="750"/>
      <c r="AX21" s="750"/>
      <c r="AY21" s="750"/>
      <c r="AZ21" s="746"/>
      <c r="BA21" s="746"/>
      <c r="BB21" s="746"/>
      <c r="BC21" s="746"/>
      <c r="BD21" s="746"/>
      <c r="BE21" s="746"/>
      <c r="BF21" s="746"/>
      <c r="BG21" s="746"/>
      <c r="BH21" s="746"/>
      <c r="BI21" s="746"/>
      <c r="BJ21" s="746"/>
      <c r="BK21" s="746"/>
      <c r="BL21" s="746"/>
      <c r="BM21" s="746"/>
      <c r="BN21" s="746"/>
      <c r="CA21" s="16" t="s">
        <v>45</v>
      </c>
      <c r="CB21" s="17" t="s">
        <v>46</v>
      </c>
      <c r="CC21" s="16" t="s">
        <v>47</v>
      </c>
      <c r="CD21" s="13"/>
      <c r="CE21" s="13"/>
      <c r="CF21" s="15"/>
      <c r="CG21" s="15"/>
    </row>
    <row r="22" spans="1:85" ht="8" customHeight="1">
      <c r="A22" s="745"/>
      <c r="B22" s="745"/>
      <c r="C22" s="745"/>
      <c r="D22" s="745"/>
      <c r="E22" s="745"/>
      <c r="F22" s="745"/>
      <c r="G22" s="745"/>
      <c r="H22" s="745"/>
      <c r="I22" s="745"/>
      <c r="J22" s="745"/>
      <c r="K22" s="745"/>
      <c r="L22" s="745"/>
      <c r="M22" s="745"/>
      <c r="N22" s="745"/>
      <c r="O22" s="745"/>
      <c r="P22" s="747"/>
      <c r="Q22" s="747"/>
      <c r="R22" s="747"/>
      <c r="S22" s="747"/>
      <c r="T22" s="747"/>
      <c r="U22" s="747"/>
      <c r="V22" s="747"/>
      <c r="W22" s="747"/>
      <c r="X22" s="747"/>
      <c r="Y22" s="745"/>
      <c r="Z22" s="745"/>
      <c r="AA22" s="745"/>
      <c r="AB22" s="748"/>
      <c r="AC22" s="748"/>
      <c r="AD22" s="748"/>
      <c r="AE22" s="748"/>
      <c r="AF22" s="748"/>
      <c r="AG22" s="748"/>
      <c r="AH22" s="748"/>
      <c r="AI22" s="756"/>
      <c r="AJ22" s="756"/>
      <c r="AK22" s="756"/>
      <c r="AL22" s="756"/>
      <c r="AM22" s="756"/>
      <c r="AN22" s="756"/>
      <c r="AO22" s="756"/>
      <c r="AP22" s="750"/>
      <c r="AQ22" s="750"/>
      <c r="AR22" s="750"/>
      <c r="AS22" s="750"/>
      <c r="AT22" s="750"/>
      <c r="AU22" s="750"/>
      <c r="AV22" s="750"/>
      <c r="AW22" s="750"/>
      <c r="AX22" s="750"/>
      <c r="AY22" s="750"/>
      <c r="AZ22" s="746"/>
      <c r="BA22" s="746"/>
      <c r="BB22" s="746"/>
      <c r="BC22" s="746"/>
      <c r="BD22" s="746"/>
      <c r="BE22" s="746"/>
      <c r="BF22" s="746"/>
      <c r="BG22" s="746"/>
      <c r="BH22" s="746"/>
      <c r="BI22" s="746"/>
      <c r="BJ22" s="746"/>
      <c r="BK22" s="746"/>
      <c r="BL22" s="746"/>
      <c r="BM22" s="746"/>
      <c r="BN22" s="746"/>
      <c r="CA22" s="16" t="s">
        <v>48</v>
      </c>
      <c r="CB22" s="17" t="s">
        <v>49</v>
      </c>
      <c r="CC22" s="16" t="s">
        <v>50</v>
      </c>
      <c r="CD22" s="13"/>
      <c r="CE22" s="13"/>
      <c r="CF22" s="15"/>
      <c r="CG22" s="15"/>
    </row>
    <row r="23" spans="1:85" ht="8" customHeight="1">
      <c r="A23" s="763"/>
      <c r="B23" s="763"/>
      <c r="C23" s="763"/>
      <c r="D23" s="763"/>
      <c r="E23" s="763"/>
      <c r="F23" s="763"/>
      <c r="G23" s="763"/>
      <c r="H23" s="763"/>
      <c r="I23" s="763"/>
      <c r="J23" s="763"/>
      <c r="K23" s="763"/>
      <c r="L23" s="763"/>
      <c r="M23" s="763"/>
      <c r="N23" s="763"/>
      <c r="O23" s="763"/>
      <c r="P23" s="747"/>
      <c r="Q23" s="747"/>
      <c r="R23" s="747"/>
      <c r="S23" s="747"/>
      <c r="T23" s="747"/>
      <c r="U23" s="747"/>
      <c r="V23" s="747"/>
      <c r="W23" s="747"/>
      <c r="X23" s="747"/>
      <c r="Y23" s="763"/>
      <c r="Z23" s="763"/>
      <c r="AA23" s="763"/>
      <c r="AB23" s="748"/>
      <c r="AC23" s="748"/>
      <c r="AD23" s="748"/>
      <c r="AE23" s="748"/>
      <c r="AF23" s="748"/>
      <c r="AG23" s="748"/>
      <c r="AH23" s="748"/>
      <c r="AI23" s="756"/>
      <c r="AJ23" s="756"/>
      <c r="AK23" s="756"/>
      <c r="AL23" s="756"/>
      <c r="AM23" s="756"/>
      <c r="AN23" s="756"/>
      <c r="AO23" s="756"/>
      <c r="AP23" s="750"/>
      <c r="AQ23" s="750"/>
      <c r="AR23" s="750"/>
      <c r="AS23" s="750"/>
      <c r="AT23" s="750"/>
      <c r="AU23" s="750"/>
      <c r="AV23" s="750"/>
      <c r="AW23" s="750"/>
      <c r="AX23" s="750"/>
      <c r="AY23" s="750"/>
      <c r="AZ23" s="746"/>
      <c r="BA23" s="746"/>
      <c r="BB23" s="746"/>
      <c r="BC23" s="746"/>
      <c r="BD23" s="746"/>
      <c r="BE23" s="746"/>
      <c r="BF23" s="746"/>
      <c r="BG23" s="746"/>
      <c r="BH23" s="746"/>
      <c r="BI23" s="746"/>
      <c r="BJ23" s="746"/>
      <c r="BK23" s="746"/>
      <c r="BL23" s="746"/>
      <c r="BM23" s="746"/>
      <c r="BN23" s="746"/>
      <c r="CA23" s="16" t="s">
        <v>51</v>
      </c>
      <c r="CB23" s="17" t="s">
        <v>32</v>
      </c>
      <c r="CC23" s="16" t="s">
        <v>52</v>
      </c>
      <c r="CD23" s="13"/>
      <c r="CE23" s="13"/>
      <c r="CF23" s="15"/>
      <c r="CG23" s="15"/>
    </row>
    <row r="24" spans="1:85" ht="8" customHeight="1">
      <c r="A24" s="763"/>
      <c r="B24" s="763"/>
      <c r="C24" s="763"/>
      <c r="D24" s="763"/>
      <c r="E24" s="763"/>
      <c r="F24" s="763"/>
      <c r="G24" s="763"/>
      <c r="H24" s="763"/>
      <c r="I24" s="763"/>
      <c r="J24" s="763"/>
      <c r="K24" s="763"/>
      <c r="L24" s="763"/>
      <c r="M24" s="763"/>
      <c r="N24" s="763"/>
      <c r="O24" s="763"/>
      <c r="P24" s="747"/>
      <c r="Q24" s="747"/>
      <c r="R24" s="747"/>
      <c r="S24" s="747"/>
      <c r="T24" s="747"/>
      <c r="U24" s="747"/>
      <c r="V24" s="747"/>
      <c r="W24" s="747"/>
      <c r="X24" s="747"/>
      <c r="Y24" s="763"/>
      <c r="Z24" s="763"/>
      <c r="AA24" s="763"/>
      <c r="AB24" s="748"/>
      <c r="AC24" s="748"/>
      <c r="AD24" s="748"/>
      <c r="AE24" s="748"/>
      <c r="AF24" s="748"/>
      <c r="AG24" s="748"/>
      <c r="AH24" s="748"/>
      <c r="AI24" s="756"/>
      <c r="AJ24" s="756"/>
      <c r="AK24" s="756"/>
      <c r="AL24" s="756"/>
      <c r="AM24" s="756"/>
      <c r="AN24" s="756"/>
      <c r="AO24" s="756"/>
      <c r="AP24" s="750"/>
      <c r="AQ24" s="750"/>
      <c r="AR24" s="750"/>
      <c r="AS24" s="750"/>
      <c r="AT24" s="750"/>
      <c r="AU24" s="750"/>
      <c r="AV24" s="750"/>
      <c r="AW24" s="750"/>
      <c r="AX24" s="750"/>
      <c r="AY24" s="750"/>
      <c r="AZ24" s="746"/>
      <c r="BA24" s="746"/>
      <c r="BB24" s="746"/>
      <c r="BC24" s="746"/>
      <c r="BD24" s="746"/>
      <c r="BE24" s="746"/>
      <c r="BF24" s="746"/>
      <c r="BG24" s="746"/>
      <c r="BH24" s="746"/>
      <c r="BI24" s="746"/>
      <c r="BJ24" s="746"/>
      <c r="BK24" s="746"/>
      <c r="BL24" s="746"/>
      <c r="BM24" s="746"/>
      <c r="BN24" s="746"/>
      <c r="CA24" s="16" t="s">
        <v>53</v>
      </c>
      <c r="CB24" s="17" t="s">
        <v>23</v>
      </c>
      <c r="CC24" s="16" t="s">
        <v>54</v>
      </c>
      <c r="CD24" s="13"/>
      <c r="CE24" s="13"/>
      <c r="CF24" s="15"/>
      <c r="CG24" s="15"/>
    </row>
    <row r="25" spans="1:85" ht="8" customHeight="1">
      <c r="A25" s="763"/>
      <c r="B25" s="763"/>
      <c r="C25" s="763"/>
      <c r="D25" s="763"/>
      <c r="E25" s="763"/>
      <c r="F25" s="763"/>
      <c r="G25" s="763"/>
      <c r="H25" s="763"/>
      <c r="I25" s="763"/>
      <c r="J25" s="763"/>
      <c r="K25" s="763"/>
      <c r="L25" s="763"/>
      <c r="M25" s="763"/>
      <c r="N25" s="763"/>
      <c r="O25" s="763"/>
      <c r="P25" s="747"/>
      <c r="Q25" s="747"/>
      <c r="R25" s="747"/>
      <c r="S25" s="747"/>
      <c r="T25" s="747"/>
      <c r="U25" s="747"/>
      <c r="V25" s="747"/>
      <c r="W25" s="747"/>
      <c r="X25" s="747"/>
      <c r="Y25" s="763"/>
      <c r="Z25" s="763"/>
      <c r="AA25" s="763"/>
      <c r="AB25" s="748"/>
      <c r="AC25" s="748"/>
      <c r="AD25" s="748"/>
      <c r="AE25" s="748"/>
      <c r="AF25" s="748"/>
      <c r="AG25" s="748"/>
      <c r="AH25" s="748"/>
      <c r="AI25" s="756"/>
      <c r="AJ25" s="756"/>
      <c r="AK25" s="756"/>
      <c r="AL25" s="756"/>
      <c r="AM25" s="756"/>
      <c r="AN25" s="756"/>
      <c r="AO25" s="756"/>
      <c r="AP25" s="750"/>
      <c r="AQ25" s="750"/>
      <c r="AR25" s="750"/>
      <c r="AS25" s="750"/>
      <c r="AT25" s="750"/>
      <c r="AU25" s="750"/>
      <c r="AV25" s="750"/>
      <c r="AW25" s="750"/>
      <c r="AX25" s="750"/>
      <c r="AY25" s="750"/>
      <c r="AZ25" s="746"/>
      <c r="BA25" s="746"/>
      <c r="BB25" s="746"/>
      <c r="BC25" s="746"/>
      <c r="BD25" s="746"/>
      <c r="BE25" s="746"/>
      <c r="BF25" s="746"/>
      <c r="BG25" s="746"/>
      <c r="BH25" s="746"/>
      <c r="BI25" s="746"/>
      <c r="BJ25" s="746"/>
      <c r="BK25" s="746"/>
      <c r="BL25" s="746"/>
      <c r="BM25" s="746"/>
      <c r="BN25" s="746"/>
      <c r="CA25" s="16" t="s">
        <v>55</v>
      </c>
      <c r="CB25" s="17" t="s">
        <v>37</v>
      </c>
      <c r="CC25" s="16" t="s">
        <v>56</v>
      </c>
      <c r="CD25" s="13"/>
      <c r="CE25" s="13"/>
      <c r="CF25" s="15"/>
      <c r="CG25" s="15"/>
    </row>
    <row r="26" spans="1:85" ht="8" customHeight="1">
      <c r="A26" s="763"/>
      <c r="B26" s="763"/>
      <c r="C26" s="763"/>
      <c r="D26" s="763"/>
      <c r="E26" s="763"/>
      <c r="F26" s="763"/>
      <c r="G26" s="763"/>
      <c r="H26" s="763"/>
      <c r="I26" s="763"/>
      <c r="J26" s="763"/>
      <c r="K26" s="763"/>
      <c r="L26" s="763"/>
      <c r="M26" s="763"/>
      <c r="N26" s="763"/>
      <c r="O26" s="763"/>
      <c r="P26" s="747"/>
      <c r="Q26" s="747"/>
      <c r="R26" s="747"/>
      <c r="S26" s="747"/>
      <c r="T26" s="747"/>
      <c r="U26" s="747"/>
      <c r="V26" s="747"/>
      <c r="W26" s="747"/>
      <c r="X26" s="747"/>
      <c r="Y26" s="763"/>
      <c r="Z26" s="763"/>
      <c r="AA26" s="763"/>
      <c r="AB26" s="748"/>
      <c r="AC26" s="748"/>
      <c r="AD26" s="748"/>
      <c r="AE26" s="748"/>
      <c r="AF26" s="748"/>
      <c r="AG26" s="748"/>
      <c r="AH26" s="748"/>
      <c r="AI26" s="756"/>
      <c r="AJ26" s="756"/>
      <c r="AK26" s="756"/>
      <c r="AL26" s="756"/>
      <c r="AM26" s="756"/>
      <c r="AN26" s="756"/>
      <c r="AO26" s="756"/>
      <c r="AP26" s="750"/>
      <c r="AQ26" s="750"/>
      <c r="AR26" s="750"/>
      <c r="AS26" s="750"/>
      <c r="AT26" s="750"/>
      <c r="AU26" s="750"/>
      <c r="AV26" s="750"/>
      <c r="AW26" s="750"/>
      <c r="AX26" s="750"/>
      <c r="AY26" s="750"/>
      <c r="AZ26" s="746"/>
      <c r="BA26" s="746"/>
      <c r="BB26" s="746"/>
      <c r="BC26" s="746"/>
      <c r="BD26" s="746"/>
      <c r="BE26" s="746"/>
      <c r="BF26" s="746"/>
      <c r="BG26" s="746"/>
      <c r="BH26" s="746"/>
      <c r="BI26" s="746"/>
      <c r="BJ26" s="746"/>
      <c r="BK26" s="746"/>
      <c r="BL26" s="746"/>
      <c r="BM26" s="746"/>
      <c r="BN26" s="746"/>
      <c r="CA26" s="16" t="s">
        <v>57</v>
      </c>
      <c r="CB26" s="17" t="s">
        <v>40</v>
      </c>
      <c r="CC26" s="16" t="s">
        <v>58</v>
      </c>
      <c r="CD26" s="13"/>
      <c r="CE26" s="13"/>
      <c r="CF26" s="15"/>
      <c r="CG26" s="15"/>
    </row>
    <row r="27" spans="1:85" ht="8" customHeight="1">
      <c r="A27" s="763"/>
      <c r="B27" s="763"/>
      <c r="C27" s="763"/>
      <c r="D27" s="763"/>
      <c r="E27" s="763"/>
      <c r="F27" s="763"/>
      <c r="G27" s="763"/>
      <c r="H27" s="763"/>
      <c r="I27" s="763"/>
      <c r="J27" s="763"/>
      <c r="K27" s="763"/>
      <c r="L27" s="763"/>
      <c r="M27" s="763"/>
      <c r="N27" s="763"/>
      <c r="O27" s="763"/>
      <c r="P27" s="747"/>
      <c r="Q27" s="747"/>
      <c r="R27" s="747"/>
      <c r="S27" s="747"/>
      <c r="T27" s="747"/>
      <c r="U27" s="747"/>
      <c r="V27" s="747"/>
      <c r="W27" s="747"/>
      <c r="X27" s="747"/>
      <c r="Y27" s="763"/>
      <c r="Z27" s="763"/>
      <c r="AA27" s="763"/>
      <c r="AB27" s="748"/>
      <c r="AC27" s="748"/>
      <c r="AD27" s="748"/>
      <c r="AE27" s="748"/>
      <c r="AF27" s="748"/>
      <c r="AG27" s="748"/>
      <c r="AH27" s="748"/>
      <c r="AI27" s="749"/>
      <c r="AJ27" s="749"/>
      <c r="AK27" s="749"/>
      <c r="AL27" s="749"/>
      <c r="AM27" s="749"/>
      <c r="AN27" s="749"/>
      <c r="AO27" s="749"/>
      <c r="AP27" s="750"/>
      <c r="AQ27" s="750"/>
      <c r="AR27" s="750"/>
      <c r="AS27" s="750"/>
      <c r="AT27" s="750"/>
      <c r="AU27" s="750"/>
      <c r="AV27" s="750"/>
      <c r="AW27" s="750"/>
      <c r="AX27" s="750"/>
      <c r="AY27" s="750"/>
      <c r="AZ27" s="746"/>
      <c r="BA27" s="746"/>
      <c r="BB27" s="746"/>
      <c r="BC27" s="746"/>
      <c r="BD27" s="746"/>
      <c r="BE27" s="746"/>
      <c r="BF27" s="746"/>
      <c r="BG27" s="746"/>
      <c r="BH27" s="746"/>
      <c r="BI27" s="746"/>
      <c r="BJ27" s="746"/>
      <c r="BK27" s="746"/>
      <c r="BL27" s="746"/>
      <c r="BM27" s="746"/>
      <c r="BN27" s="746"/>
      <c r="CA27" s="16"/>
      <c r="CB27" s="17" t="s">
        <v>42</v>
      </c>
      <c r="CC27" s="16"/>
      <c r="CD27" s="13"/>
      <c r="CE27" s="13"/>
      <c r="CF27" s="15"/>
      <c r="CG27" s="15"/>
    </row>
    <row r="28" spans="1:85" ht="8" customHeight="1">
      <c r="A28" s="763"/>
      <c r="B28" s="763"/>
      <c r="C28" s="763"/>
      <c r="D28" s="763"/>
      <c r="E28" s="763"/>
      <c r="F28" s="763"/>
      <c r="G28" s="763"/>
      <c r="H28" s="763"/>
      <c r="I28" s="763"/>
      <c r="J28" s="763"/>
      <c r="K28" s="763"/>
      <c r="L28" s="763"/>
      <c r="M28" s="763"/>
      <c r="N28" s="763"/>
      <c r="O28" s="763"/>
      <c r="P28" s="747"/>
      <c r="Q28" s="747"/>
      <c r="R28" s="747"/>
      <c r="S28" s="747"/>
      <c r="T28" s="747"/>
      <c r="U28" s="747"/>
      <c r="V28" s="747"/>
      <c r="W28" s="747"/>
      <c r="X28" s="747"/>
      <c r="Y28" s="763"/>
      <c r="Z28" s="763"/>
      <c r="AA28" s="763"/>
      <c r="AB28" s="748"/>
      <c r="AC28" s="748"/>
      <c r="AD28" s="748"/>
      <c r="AE28" s="748"/>
      <c r="AF28" s="748"/>
      <c r="AG28" s="748"/>
      <c r="AH28" s="748"/>
      <c r="AI28" s="749"/>
      <c r="AJ28" s="749"/>
      <c r="AK28" s="749"/>
      <c r="AL28" s="749"/>
      <c r="AM28" s="749"/>
      <c r="AN28" s="749"/>
      <c r="AO28" s="749"/>
      <c r="AP28" s="750"/>
      <c r="AQ28" s="750"/>
      <c r="AR28" s="750"/>
      <c r="AS28" s="750"/>
      <c r="AT28" s="750"/>
      <c r="AU28" s="750"/>
      <c r="AV28" s="750"/>
      <c r="AW28" s="750"/>
      <c r="AX28" s="750"/>
      <c r="AY28" s="750"/>
      <c r="AZ28" s="746"/>
      <c r="BA28" s="746"/>
      <c r="BB28" s="746"/>
      <c r="BC28" s="746"/>
      <c r="BD28" s="746"/>
      <c r="BE28" s="746"/>
      <c r="BF28" s="746"/>
      <c r="BG28" s="746"/>
      <c r="BH28" s="746"/>
      <c r="BI28" s="746"/>
      <c r="BJ28" s="746"/>
      <c r="BK28" s="746"/>
      <c r="BL28" s="746"/>
      <c r="BM28" s="746"/>
      <c r="BN28" s="746"/>
      <c r="CA28" s="16"/>
      <c r="CB28" s="17" t="s">
        <v>45</v>
      </c>
      <c r="CC28" s="16"/>
      <c r="CD28" s="13"/>
      <c r="CE28" s="13"/>
      <c r="CF28" s="15"/>
      <c r="CG28" s="15"/>
    </row>
    <row r="29" spans="1:85" ht="8" customHeight="1">
      <c r="A29" s="763"/>
      <c r="B29" s="763"/>
      <c r="C29" s="763"/>
      <c r="D29" s="763"/>
      <c r="E29" s="763"/>
      <c r="F29" s="763"/>
      <c r="G29" s="763"/>
      <c r="H29" s="763"/>
      <c r="I29" s="763"/>
      <c r="J29" s="763"/>
      <c r="K29" s="763"/>
      <c r="L29" s="763"/>
      <c r="M29" s="763"/>
      <c r="N29" s="763"/>
      <c r="O29" s="763"/>
      <c r="P29" s="747"/>
      <c r="Q29" s="747"/>
      <c r="R29" s="747"/>
      <c r="S29" s="747"/>
      <c r="T29" s="747"/>
      <c r="U29" s="747"/>
      <c r="V29" s="747"/>
      <c r="W29" s="747"/>
      <c r="X29" s="747"/>
      <c r="Y29" s="763"/>
      <c r="Z29" s="763"/>
      <c r="AA29" s="763"/>
      <c r="AB29" s="748"/>
      <c r="AC29" s="748"/>
      <c r="AD29" s="748"/>
      <c r="AE29" s="748"/>
      <c r="AF29" s="748"/>
      <c r="AG29" s="748"/>
      <c r="AH29" s="748"/>
      <c r="AI29" s="749"/>
      <c r="AJ29" s="749"/>
      <c r="AK29" s="749"/>
      <c r="AL29" s="749"/>
      <c r="AM29" s="749"/>
      <c r="AN29" s="749"/>
      <c r="AO29" s="749"/>
      <c r="AP29" s="750"/>
      <c r="AQ29" s="750"/>
      <c r="AR29" s="750"/>
      <c r="AS29" s="750"/>
      <c r="AT29" s="750"/>
      <c r="AU29" s="750"/>
      <c r="AV29" s="750"/>
      <c r="AW29" s="750"/>
      <c r="AX29" s="750"/>
      <c r="AY29" s="750"/>
      <c r="AZ29" s="746"/>
      <c r="BA29" s="746"/>
      <c r="BB29" s="746"/>
      <c r="BC29" s="746"/>
      <c r="BD29" s="746"/>
      <c r="BE29" s="746"/>
      <c r="BF29" s="746"/>
      <c r="BG29" s="746"/>
      <c r="BH29" s="746"/>
      <c r="BI29" s="746"/>
      <c r="BJ29" s="746"/>
      <c r="BK29" s="746"/>
      <c r="BL29" s="746"/>
      <c r="BM29" s="746"/>
      <c r="BN29" s="746"/>
      <c r="CA29" s="16"/>
      <c r="CB29" s="17" t="s">
        <v>48</v>
      </c>
      <c r="CC29" s="16"/>
      <c r="CD29" s="13"/>
      <c r="CE29" s="13"/>
      <c r="CF29" s="15"/>
      <c r="CG29" s="15"/>
    </row>
    <row r="30" spans="1:85" ht="8" customHeight="1">
      <c r="A30" s="763"/>
      <c r="B30" s="763"/>
      <c r="C30" s="763"/>
      <c r="D30" s="763"/>
      <c r="E30" s="763"/>
      <c r="F30" s="763"/>
      <c r="G30" s="763"/>
      <c r="H30" s="763"/>
      <c r="I30" s="763"/>
      <c r="J30" s="763"/>
      <c r="K30" s="763"/>
      <c r="L30" s="763"/>
      <c r="M30" s="763"/>
      <c r="N30" s="763"/>
      <c r="O30" s="763"/>
      <c r="P30" s="747"/>
      <c r="Q30" s="747"/>
      <c r="R30" s="747"/>
      <c r="S30" s="747"/>
      <c r="T30" s="747"/>
      <c r="U30" s="747"/>
      <c r="V30" s="747"/>
      <c r="W30" s="747"/>
      <c r="X30" s="747"/>
      <c r="Y30" s="763"/>
      <c r="Z30" s="763"/>
      <c r="AA30" s="763"/>
      <c r="AB30" s="748"/>
      <c r="AC30" s="748"/>
      <c r="AD30" s="748"/>
      <c r="AE30" s="748"/>
      <c r="AF30" s="748"/>
      <c r="AG30" s="748"/>
      <c r="AH30" s="748"/>
      <c r="AI30" s="749"/>
      <c r="AJ30" s="749"/>
      <c r="AK30" s="749"/>
      <c r="AL30" s="749"/>
      <c r="AM30" s="749"/>
      <c r="AN30" s="749"/>
      <c r="AO30" s="749"/>
      <c r="AP30" s="750"/>
      <c r="AQ30" s="750"/>
      <c r="AR30" s="750"/>
      <c r="AS30" s="750"/>
      <c r="AT30" s="750"/>
      <c r="AU30" s="750"/>
      <c r="AV30" s="750"/>
      <c r="AW30" s="750"/>
      <c r="AX30" s="750"/>
      <c r="AY30" s="750"/>
      <c r="AZ30" s="746"/>
      <c r="BA30" s="746"/>
      <c r="BB30" s="746"/>
      <c r="BC30" s="746"/>
      <c r="BD30" s="746"/>
      <c r="BE30" s="746"/>
      <c r="BF30" s="746"/>
      <c r="BG30" s="746"/>
      <c r="BH30" s="746"/>
      <c r="BI30" s="746"/>
      <c r="BJ30" s="746"/>
      <c r="BK30" s="746"/>
      <c r="BL30" s="746"/>
      <c r="BM30" s="746"/>
      <c r="BN30" s="746"/>
      <c r="CA30" s="16"/>
      <c r="CB30" s="17" t="s">
        <v>51</v>
      </c>
      <c r="CC30" s="16"/>
      <c r="CD30" s="13"/>
      <c r="CE30" s="13"/>
      <c r="CF30" s="15"/>
      <c r="CG30" s="15"/>
    </row>
    <row r="31" spans="1:85" ht="8" customHeight="1">
      <c r="A31" s="763"/>
      <c r="B31" s="763"/>
      <c r="C31" s="763"/>
      <c r="D31" s="763"/>
      <c r="E31" s="763"/>
      <c r="F31" s="763"/>
      <c r="G31" s="763"/>
      <c r="H31" s="763"/>
      <c r="I31" s="763"/>
      <c r="J31" s="763"/>
      <c r="K31" s="763"/>
      <c r="L31" s="763"/>
      <c r="M31" s="763"/>
      <c r="N31" s="763"/>
      <c r="O31" s="763"/>
      <c r="P31" s="747"/>
      <c r="Q31" s="747"/>
      <c r="R31" s="747"/>
      <c r="S31" s="747"/>
      <c r="T31" s="747"/>
      <c r="U31" s="747"/>
      <c r="V31" s="747"/>
      <c r="W31" s="747"/>
      <c r="X31" s="747"/>
      <c r="Y31" s="763"/>
      <c r="Z31" s="763"/>
      <c r="AA31" s="763"/>
      <c r="AB31" s="748"/>
      <c r="AC31" s="748"/>
      <c r="AD31" s="748"/>
      <c r="AE31" s="748"/>
      <c r="AF31" s="748"/>
      <c r="AG31" s="748"/>
      <c r="AH31" s="748"/>
      <c r="AI31" s="749"/>
      <c r="AJ31" s="749"/>
      <c r="AK31" s="749"/>
      <c r="AL31" s="749"/>
      <c r="AM31" s="749"/>
      <c r="AN31" s="749"/>
      <c r="AO31" s="749"/>
      <c r="AP31" s="750"/>
      <c r="AQ31" s="750"/>
      <c r="AR31" s="750"/>
      <c r="AS31" s="750"/>
      <c r="AT31" s="750"/>
      <c r="AU31" s="750"/>
      <c r="AV31" s="750"/>
      <c r="AW31" s="750"/>
      <c r="AX31" s="750"/>
      <c r="AY31" s="750"/>
      <c r="AZ31" s="746"/>
      <c r="BA31" s="746"/>
      <c r="BB31" s="746"/>
      <c r="BC31" s="746"/>
      <c r="BD31" s="746"/>
      <c r="BE31" s="746"/>
      <c r="BF31" s="746"/>
      <c r="BG31" s="746"/>
      <c r="BH31" s="746"/>
      <c r="BI31" s="746"/>
      <c r="BJ31" s="746"/>
      <c r="BK31" s="746"/>
      <c r="BL31" s="746"/>
      <c r="BM31" s="746"/>
      <c r="BN31" s="746"/>
      <c r="CA31" s="16"/>
      <c r="CB31" s="17" t="s">
        <v>53</v>
      </c>
      <c r="CC31" s="16"/>
      <c r="CD31" s="13"/>
      <c r="CE31" s="13"/>
      <c r="CF31" s="15"/>
      <c r="CG31" s="15"/>
    </row>
    <row r="32" spans="1:85" ht="8" customHeight="1">
      <c r="A32" s="763"/>
      <c r="B32" s="763"/>
      <c r="C32" s="763"/>
      <c r="D32" s="763"/>
      <c r="E32" s="763"/>
      <c r="F32" s="763"/>
      <c r="G32" s="763"/>
      <c r="H32" s="763"/>
      <c r="I32" s="763"/>
      <c r="J32" s="763"/>
      <c r="K32" s="763"/>
      <c r="L32" s="763"/>
      <c r="M32" s="763"/>
      <c r="N32" s="763"/>
      <c r="O32" s="763"/>
      <c r="P32" s="747"/>
      <c r="Q32" s="747"/>
      <c r="R32" s="747"/>
      <c r="S32" s="747"/>
      <c r="T32" s="747"/>
      <c r="U32" s="747"/>
      <c r="V32" s="747"/>
      <c r="W32" s="747"/>
      <c r="X32" s="747"/>
      <c r="Y32" s="763"/>
      <c r="Z32" s="763"/>
      <c r="AA32" s="763"/>
      <c r="AB32" s="748"/>
      <c r="AC32" s="748"/>
      <c r="AD32" s="748"/>
      <c r="AE32" s="748"/>
      <c r="AF32" s="748"/>
      <c r="AG32" s="748"/>
      <c r="AH32" s="748"/>
      <c r="AI32" s="749"/>
      <c r="AJ32" s="749"/>
      <c r="AK32" s="749"/>
      <c r="AL32" s="749"/>
      <c r="AM32" s="749"/>
      <c r="AN32" s="749"/>
      <c r="AO32" s="749"/>
      <c r="AP32" s="750"/>
      <c r="AQ32" s="750"/>
      <c r="AR32" s="750"/>
      <c r="AS32" s="750"/>
      <c r="AT32" s="750"/>
      <c r="AU32" s="750"/>
      <c r="AV32" s="750"/>
      <c r="AW32" s="750"/>
      <c r="AX32" s="750"/>
      <c r="AY32" s="750"/>
      <c r="AZ32" s="746"/>
      <c r="BA32" s="746"/>
      <c r="BB32" s="746"/>
      <c r="BC32" s="746"/>
      <c r="BD32" s="746"/>
      <c r="BE32" s="746"/>
      <c r="BF32" s="746"/>
      <c r="BG32" s="746"/>
      <c r="BH32" s="746"/>
      <c r="BI32" s="746"/>
      <c r="BJ32" s="746"/>
      <c r="BK32" s="746"/>
      <c r="BL32" s="746"/>
      <c r="BM32" s="746"/>
      <c r="BN32" s="746"/>
      <c r="CA32" s="16"/>
      <c r="CB32" s="17" t="s">
        <v>55</v>
      </c>
      <c r="CC32" s="16"/>
      <c r="CD32" s="13"/>
      <c r="CE32" s="13"/>
      <c r="CF32" s="15"/>
      <c r="CG32" s="15"/>
    </row>
    <row r="33" spans="1:85" ht="8" customHeight="1">
      <c r="A33" s="745"/>
      <c r="B33" s="745"/>
      <c r="C33" s="745"/>
      <c r="D33" s="745"/>
      <c r="E33" s="745"/>
      <c r="F33" s="745"/>
      <c r="G33" s="745"/>
      <c r="H33" s="745"/>
      <c r="I33" s="745"/>
      <c r="J33" s="745"/>
      <c r="K33" s="745"/>
      <c r="L33" s="745"/>
      <c r="M33" s="745"/>
      <c r="N33" s="745"/>
      <c r="O33" s="745"/>
      <c r="P33" s="747"/>
      <c r="Q33" s="747"/>
      <c r="R33" s="747"/>
      <c r="S33" s="747"/>
      <c r="T33" s="747"/>
      <c r="U33" s="747"/>
      <c r="V33" s="747"/>
      <c r="W33" s="747"/>
      <c r="X33" s="747"/>
      <c r="Y33" s="763"/>
      <c r="Z33" s="763"/>
      <c r="AA33" s="763"/>
      <c r="AB33" s="748"/>
      <c r="AC33" s="748"/>
      <c r="AD33" s="748"/>
      <c r="AE33" s="748"/>
      <c r="AF33" s="748"/>
      <c r="AG33" s="748"/>
      <c r="AH33" s="748"/>
      <c r="AI33" s="749"/>
      <c r="AJ33" s="749"/>
      <c r="AK33" s="749"/>
      <c r="AL33" s="749"/>
      <c r="AM33" s="749"/>
      <c r="AN33" s="749"/>
      <c r="AO33" s="749"/>
      <c r="AP33" s="750"/>
      <c r="AQ33" s="750"/>
      <c r="AR33" s="750"/>
      <c r="AS33" s="750"/>
      <c r="AT33" s="750"/>
      <c r="AU33" s="750"/>
      <c r="AV33" s="750"/>
      <c r="AW33" s="750"/>
      <c r="AX33" s="750"/>
      <c r="AY33" s="750"/>
      <c r="AZ33" s="746"/>
      <c r="BA33" s="746"/>
      <c r="BB33" s="746"/>
      <c r="BC33" s="746"/>
      <c r="BD33" s="746"/>
      <c r="BE33" s="746"/>
      <c r="BF33" s="746"/>
      <c r="BG33" s="746"/>
      <c r="BH33" s="746"/>
      <c r="BI33" s="746"/>
      <c r="BJ33" s="746"/>
      <c r="BK33" s="746"/>
      <c r="BL33" s="746"/>
      <c r="BM33" s="746"/>
      <c r="BN33" s="746"/>
      <c r="CA33" s="16"/>
      <c r="CB33" s="17" t="s">
        <v>57</v>
      </c>
      <c r="CC33" s="16"/>
      <c r="CD33" s="13"/>
      <c r="CE33" s="13"/>
      <c r="CF33" s="15"/>
      <c r="CG33" s="15"/>
    </row>
    <row r="34" spans="1:85" ht="8" customHeight="1">
      <c r="A34" s="745"/>
      <c r="B34" s="745"/>
      <c r="C34" s="745"/>
      <c r="D34" s="745"/>
      <c r="E34" s="745"/>
      <c r="F34" s="745"/>
      <c r="G34" s="745"/>
      <c r="H34" s="745"/>
      <c r="I34" s="745"/>
      <c r="J34" s="745"/>
      <c r="K34" s="745"/>
      <c r="L34" s="745"/>
      <c r="M34" s="745"/>
      <c r="N34" s="745"/>
      <c r="O34" s="745"/>
      <c r="P34" s="747"/>
      <c r="Q34" s="747"/>
      <c r="R34" s="747"/>
      <c r="S34" s="747"/>
      <c r="T34" s="747"/>
      <c r="U34" s="747"/>
      <c r="V34" s="747"/>
      <c r="W34" s="747"/>
      <c r="X34" s="747"/>
      <c r="Y34" s="763"/>
      <c r="Z34" s="763"/>
      <c r="AA34" s="763"/>
      <c r="AB34" s="748"/>
      <c r="AC34" s="748"/>
      <c r="AD34" s="748"/>
      <c r="AE34" s="748"/>
      <c r="AF34" s="748"/>
      <c r="AG34" s="748"/>
      <c r="AH34" s="748"/>
      <c r="AI34" s="749"/>
      <c r="AJ34" s="749"/>
      <c r="AK34" s="749"/>
      <c r="AL34" s="749"/>
      <c r="AM34" s="749"/>
      <c r="AN34" s="749"/>
      <c r="AO34" s="749"/>
      <c r="AP34" s="750"/>
      <c r="AQ34" s="750"/>
      <c r="AR34" s="750"/>
      <c r="AS34" s="750"/>
      <c r="AT34" s="750"/>
      <c r="AU34" s="750"/>
      <c r="AV34" s="750"/>
      <c r="AW34" s="750"/>
      <c r="AX34" s="750"/>
      <c r="AY34" s="750"/>
      <c r="AZ34" s="746"/>
      <c r="BA34" s="746"/>
      <c r="BB34" s="746"/>
      <c r="BC34" s="746"/>
      <c r="BD34" s="746"/>
      <c r="BE34" s="746"/>
      <c r="BF34" s="746"/>
      <c r="BG34" s="746"/>
      <c r="BH34" s="746"/>
      <c r="BI34" s="746"/>
      <c r="BJ34" s="746"/>
      <c r="BK34" s="746"/>
      <c r="BL34" s="746"/>
      <c r="BM34" s="746"/>
      <c r="BN34" s="746"/>
      <c r="CA34" s="16"/>
      <c r="CB34" s="17" t="s">
        <v>59</v>
      </c>
      <c r="CC34" s="16"/>
      <c r="CD34" s="13"/>
      <c r="CE34" s="13"/>
      <c r="CF34" s="15"/>
      <c r="CG34" s="15"/>
    </row>
    <row r="35" spans="1:85" ht="8" customHeight="1">
      <c r="A35" s="745" t="s">
        <v>82</v>
      </c>
      <c r="B35" s="745"/>
      <c r="C35" s="745"/>
      <c r="D35" s="745"/>
      <c r="E35" s="745"/>
      <c r="F35" s="745"/>
      <c r="G35" s="745"/>
      <c r="H35" s="745"/>
      <c r="I35" s="745"/>
      <c r="J35" s="745"/>
      <c r="K35" s="745"/>
      <c r="L35" s="745"/>
      <c r="M35" s="745"/>
      <c r="N35" s="745"/>
      <c r="O35" s="745"/>
      <c r="P35" s="747"/>
      <c r="Q35" s="747"/>
      <c r="R35" s="747"/>
      <c r="S35" s="747"/>
      <c r="T35" s="747"/>
      <c r="U35" s="747"/>
      <c r="V35" s="747"/>
      <c r="W35" s="747"/>
      <c r="X35" s="747"/>
      <c r="Y35" s="763"/>
      <c r="Z35" s="763"/>
      <c r="AA35" s="763"/>
      <c r="AB35" s="748"/>
      <c r="AC35" s="748"/>
      <c r="AD35" s="748"/>
      <c r="AE35" s="748"/>
      <c r="AF35" s="748"/>
      <c r="AG35" s="748"/>
      <c r="AH35" s="748"/>
      <c r="AI35" s="749"/>
      <c r="AJ35" s="749"/>
      <c r="AK35" s="749"/>
      <c r="AL35" s="749"/>
      <c r="AM35" s="749"/>
      <c r="AN35" s="749"/>
      <c r="AO35" s="749"/>
      <c r="AP35" s="765">
        <f>SUM(AP13:AY34)</f>
        <v>1436460</v>
      </c>
      <c r="AQ35" s="765"/>
      <c r="AR35" s="765"/>
      <c r="AS35" s="765"/>
      <c r="AT35" s="765"/>
      <c r="AU35" s="765"/>
      <c r="AV35" s="765"/>
      <c r="AW35" s="765"/>
      <c r="AX35" s="765"/>
      <c r="AY35" s="765"/>
      <c r="AZ35" s="746"/>
      <c r="BA35" s="746"/>
      <c r="BB35" s="746"/>
      <c r="BC35" s="746"/>
      <c r="BD35" s="746"/>
      <c r="BE35" s="746"/>
      <c r="BF35" s="746"/>
      <c r="BG35" s="746"/>
      <c r="BH35" s="746"/>
      <c r="BI35" s="746"/>
      <c r="BJ35" s="746"/>
      <c r="BK35" s="746"/>
      <c r="BL35" s="746"/>
      <c r="BM35" s="746"/>
      <c r="BN35" s="746"/>
      <c r="CA35" s="16"/>
      <c r="CB35" s="17" t="s">
        <v>21</v>
      </c>
      <c r="CC35" s="16"/>
      <c r="CD35" s="13"/>
      <c r="CE35" s="13"/>
      <c r="CF35" s="15"/>
      <c r="CG35" s="15"/>
    </row>
    <row r="36" spans="1:85" ht="8" customHeight="1">
      <c r="A36" s="745"/>
      <c r="B36" s="745"/>
      <c r="C36" s="745"/>
      <c r="D36" s="745"/>
      <c r="E36" s="745"/>
      <c r="F36" s="745"/>
      <c r="G36" s="745"/>
      <c r="H36" s="745"/>
      <c r="I36" s="745"/>
      <c r="J36" s="745"/>
      <c r="K36" s="745"/>
      <c r="L36" s="745"/>
      <c r="M36" s="745"/>
      <c r="N36" s="745"/>
      <c r="O36" s="745"/>
      <c r="P36" s="747"/>
      <c r="Q36" s="747"/>
      <c r="R36" s="747"/>
      <c r="S36" s="747"/>
      <c r="T36" s="747"/>
      <c r="U36" s="747"/>
      <c r="V36" s="747"/>
      <c r="W36" s="747"/>
      <c r="X36" s="747"/>
      <c r="Y36" s="763"/>
      <c r="Z36" s="763"/>
      <c r="AA36" s="763"/>
      <c r="AB36" s="748"/>
      <c r="AC36" s="748"/>
      <c r="AD36" s="748"/>
      <c r="AE36" s="748"/>
      <c r="AF36" s="748"/>
      <c r="AG36" s="748"/>
      <c r="AH36" s="748"/>
      <c r="AI36" s="749"/>
      <c r="AJ36" s="749"/>
      <c r="AK36" s="749"/>
      <c r="AL36" s="749"/>
      <c r="AM36" s="749"/>
      <c r="AN36" s="749"/>
      <c r="AO36" s="749"/>
      <c r="AP36" s="765"/>
      <c r="AQ36" s="765"/>
      <c r="AR36" s="765"/>
      <c r="AS36" s="765"/>
      <c r="AT36" s="765"/>
      <c r="AU36" s="765"/>
      <c r="AV36" s="765"/>
      <c r="AW36" s="765"/>
      <c r="AX36" s="765"/>
      <c r="AY36" s="765"/>
      <c r="AZ36" s="746"/>
      <c r="BA36" s="746"/>
      <c r="BB36" s="746"/>
      <c r="BC36" s="746"/>
      <c r="BD36" s="746"/>
      <c r="BE36" s="746"/>
      <c r="BF36" s="746"/>
      <c r="BG36" s="746"/>
      <c r="BH36" s="746"/>
      <c r="BI36" s="746"/>
      <c r="BJ36" s="746"/>
      <c r="BK36" s="746"/>
      <c r="BL36" s="746"/>
      <c r="BM36" s="746"/>
      <c r="BN36" s="746"/>
      <c r="CA36" s="16"/>
      <c r="CB36" s="17" t="s">
        <v>60</v>
      </c>
      <c r="CC36" s="16"/>
      <c r="CD36" s="13"/>
      <c r="CE36" s="13"/>
      <c r="CF36" s="15"/>
      <c r="CG36" s="15"/>
    </row>
    <row r="37" spans="1:85" ht="8" customHeight="1">
      <c r="A37" s="745" t="s">
        <v>92</v>
      </c>
      <c r="B37" s="745"/>
      <c r="C37" s="745"/>
      <c r="D37" s="745"/>
      <c r="E37" s="745"/>
      <c r="F37" s="745"/>
      <c r="G37" s="745"/>
      <c r="H37" s="745"/>
      <c r="I37" s="745"/>
      <c r="J37" s="745"/>
      <c r="K37" s="745"/>
      <c r="L37" s="745"/>
      <c r="M37" s="745"/>
      <c r="N37" s="745"/>
      <c r="O37" s="745"/>
      <c r="P37" s="747"/>
      <c r="Q37" s="747"/>
      <c r="R37" s="747"/>
      <c r="S37" s="747"/>
      <c r="T37" s="747"/>
      <c r="U37" s="747"/>
      <c r="V37" s="747"/>
      <c r="W37" s="747"/>
      <c r="X37" s="747"/>
      <c r="Y37" s="763"/>
      <c r="Z37" s="763"/>
      <c r="AA37" s="763"/>
      <c r="AB37" s="748"/>
      <c r="AC37" s="748"/>
      <c r="AD37" s="748"/>
      <c r="AE37" s="748"/>
      <c r="AF37" s="748"/>
      <c r="AG37" s="748"/>
      <c r="AH37" s="748"/>
      <c r="AI37" s="764"/>
      <c r="AJ37" s="764"/>
      <c r="AK37" s="764"/>
      <c r="AL37" s="764"/>
      <c r="AM37" s="764"/>
      <c r="AN37" s="764"/>
      <c r="AO37" s="764"/>
      <c r="AP37" s="765">
        <f>SUM(AP35)*0.1</f>
        <v>143646</v>
      </c>
      <c r="AQ37" s="765"/>
      <c r="AR37" s="765"/>
      <c r="AS37" s="765"/>
      <c r="AT37" s="765"/>
      <c r="AU37" s="765"/>
      <c r="AV37" s="765"/>
      <c r="AW37" s="765"/>
      <c r="AX37" s="765"/>
      <c r="AY37" s="765"/>
      <c r="AZ37" s="746"/>
      <c r="BA37" s="746"/>
      <c r="BB37" s="746"/>
      <c r="BC37" s="746"/>
      <c r="BD37" s="746"/>
      <c r="BE37" s="746"/>
      <c r="BF37" s="746"/>
      <c r="BG37" s="746"/>
      <c r="BH37" s="746"/>
      <c r="BI37" s="746"/>
      <c r="BJ37" s="746"/>
      <c r="BK37" s="746"/>
      <c r="BL37" s="746"/>
      <c r="BM37" s="746"/>
      <c r="BN37" s="746"/>
      <c r="CA37" s="16"/>
      <c r="CB37" s="17" t="s">
        <v>61</v>
      </c>
      <c r="CC37" s="16"/>
      <c r="CD37" s="13"/>
      <c r="CE37" s="13"/>
      <c r="CF37" s="15"/>
      <c r="CG37" s="15"/>
    </row>
    <row r="38" spans="1:85" ht="8" customHeight="1">
      <c r="A38" s="745"/>
      <c r="B38" s="745"/>
      <c r="C38" s="745"/>
      <c r="D38" s="745"/>
      <c r="E38" s="745"/>
      <c r="F38" s="745"/>
      <c r="G38" s="745"/>
      <c r="H38" s="745"/>
      <c r="I38" s="745"/>
      <c r="J38" s="745"/>
      <c r="K38" s="745"/>
      <c r="L38" s="745"/>
      <c r="M38" s="745"/>
      <c r="N38" s="745"/>
      <c r="O38" s="745"/>
      <c r="P38" s="747"/>
      <c r="Q38" s="747"/>
      <c r="R38" s="747"/>
      <c r="S38" s="747"/>
      <c r="T38" s="747"/>
      <c r="U38" s="747"/>
      <c r="V38" s="747"/>
      <c r="W38" s="747"/>
      <c r="X38" s="747"/>
      <c r="Y38" s="763"/>
      <c r="Z38" s="763"/>
      <c r="AA38" s="763"/>
      <c r="AB38" s="748"/>
      <c r="AC38" s="748"/>
      <c r="AD38" s="748"/>
      <c r="AE38" s="748"/>
      <c r="AF38" s="748"/>
      <c r="AG38" s="748"/>
      <c r="AH38" s="748"/>
      <c r="AI38" s="764"/>
      <c r="AJ38" s="764"/>
      <c r="AK38" s="764"/>
      <c r="AL38" s="764"/>
      <c r="AM38" s="764"/>
      <c r="AN38" s="764"/>
      <c r="AO38" s="764"/>
      <c r="AP38" s="765"/>
      <c r="AQ38" s="765"/>
      <c r="AR38" s="765"/>
      <c r="AS38" s="765"/>
      <c r="AT38" s="765"/>
      <c r="AU38" s="765"/>
      <c r="AV38" s="765"/>
      <c r="AW38" s="765"/>
      <c r="AX38" s="765"/>
      <c r="AY38" s="765"/>
      <c r="AZ38" s="746"/>
      <c r="BA38" s="746"/>
      <c r="BB38" s="746"/>
      <c r="BC38" s="746"/>
      <c r="BD38" s="746"/>
      <c r="BE38" s="746"/>
      <c r="BF38" s="746"/>
      <c r="BG38" s="746"/>
      <c r="BH38" s="746"/>
      <c r="BI38" s="746"/>
      <c r="BJ38" s="746"/>
      <c r="BK38" s="746"/>
      <c r="BL38" s="746"/>
      <c r="BM38" s="746"/>
      <c r="BN38" s="746"/>
      <c r="CA38" s="16"/>
      <c r="CB38" s="17" t="s">
        <v>22</v>
      </c>
      <c r="CC38" s="16"/>
      <c r="CD38" s="13"/>
      <c r="CE38" s="13"/>
      <c r="CF38" s="15"/>
      <c r="CG38" s="15"/>
    </row>
    <row r="39" spans="1:85" ht="8" customHeight="1">
      <c r="A39" s="745" t="s">
        <v>91</v>
      </c>
      <c r="B39" s="745"/>
      <c r="C39" s="745"/>
      <c r="D39" s="745"/>
      <c r="E39" s="745"/>
      <c r="F39" s="745"/>
      <c r="G39" s="745"/>
      <c r="H39" s="745"/>
      <c r="I39" s="745"/>
      <c r="J39" s="745"/>
      <c r="K39" s="745"/>
      <c r="L39" s="745"/>
      <c r="M39" s="745"/>
      <c r="N39" s="745"/>
      <c r="O39" s="745"/>
      <c r="P39" s="747"/>
      <c r="Q39" s="747"/>
      <c r="R39" s="747"/>
      <c r="S39" s="747"/>
      <c r="T39" s="747"/>
      <c r="U39" s="747"/>
      <c r="V39" s="747"/>
      <c r="W39" s="747"/>
      <c r="X39" s="747"/>
      <c r="Y39" s="763"/>
      <c r="Z39" s="763"/>
      <c r="AA39" s="763"/>
      <c r="AB39" s="748"/>
      <c r="AC39" s="748"/>
      <c r="AD39" s="748"/>
      <c r="AE39" s="748"/>
      <c r="AF39" s="748"/>
      <c r="AG39" s="748"/>
      <c r="AH39" s="748"/>
      <c r="AI39" s="764"/>
      <c r="AJ39" s="764"/>
      <c r="AK39" s="764"/>
      <c r="AL39" s="764"/>
      <c r="AM39" s="764"/>
      <c r="AN39" s="764"/>
      <c r="AO39" s="764"/>
      <c r="AP39" s="765">
        <f>Ｓ表紙!I60</f>
        <v>-6700</v>
      </c>
      <c r="AQ39" s="765"/>
      <c r="AR39" s="765"/>
      <c r="AS39" s="765"/>
      <c r="AT39" s="765"/>
      <c r="AU39" s="765"/>
      <c r="AV39" s="765"/>
      <c r="AW39" s="765"/>
      <c r="AX39" s="765"/>
      <c r="AY39" s="765"/>
      <c r="AZ39" s="746"/>
      <c r="BA39" s="746"/>
      <c r="BB39" s="746"/>
      <c r="BC39" s="746"/>
      <c r="BD39" s="746"/>
      <c r="BE39" s="746"/>
      <c r="BF39" s="746"/>
      <c r="BG39" s="746"/>
      <c r="BH39" s="746"/>
      <c r="BI39" s="746"/>
      <c r="BJ39" s="746"/>
      <c r="BK39" s="746"/>
      <c r="BL39" s="746"/>
      <c r="BM39" s="746"/>
      <c r="BN39" s="746"/>
      <c r="CA39" s="13"/>
      <c r="CB39" s="17" t="s">
        <v>62</v>
      </c>
      <c r="CC39" s="13"/>
      <c r="CD39" s="13"/>
      <c r="CE39" s="13"/>
      <c r="CF39" s="15"/>
      <c r="CG39" s="15"/>
    </row>
    <row r="40" spans="1:85" ht="8" customHeight="1">
      <c r="A40" s="745"/>
      <c r="B40" s="745"/>
      <c r="C40" s="745"/>
      <c r="D40" s="745"/>
      <c r="E40" s="745"/>
      <c r="F40" s="745"/>
      <c r="G40" s="745"/>
      <c r="H40" s="745"/>
      <c r="I40" s="745"/>
      <c r="J40" s="745"/>
      <c r="K40" s="745"/>
      <c r="L40" s="745"/>
      <c r="M40" s="745"/>
      <c r="N40" s="745"/>
      <c r="O40" s="745"/>
      <c r="P40" s="747"/>
      <c r="Q40" s="747"/>
      <c r="R40" s="747"/>
      <c r="S40" s="747"/>
      <c r="T40" s="747"/>
      <c r="U40" s="747"/>
      <c r="V40" s="747"/>
      <c r="W40" s="747"/>
      <c r="X40" s="747"/>
      <c r="Y40" s="763"/>
      <c r="Z40" s="763"/>
      <c r="AA40" s="763"/>
      <c r="AB40" s="748"/>
      <c r="AC40" s="748"/>
      <c r="AD40" s="748"/>
      <c r="AE40" s="748"/>
      <c r="AF40" s="748"/>
      <c r="AG40" s="748"/>
      <c r="AH40" s="748"/>
      <c r="AI40" s="764"/>
      <c r="AJ40" s="764"/>
      <c r="AK40" s="764"/>
      <c r="AL40" s="764"/>
      <c r="AM40" s="764"/>
      <c r="AN40" s="764"/>
      <c r="AO40" s="764"/>
      <c r="AP40" s="765"/>
      <c r="AQ40" s="765"/>
      <c r="AR40" s="765"/>
      <c r="AS40" s="765"/>
      <c r="AT40" s="765"/>
      <c r="AU40" s="765"/>
      <c r="AV40" s="765"/>
      <c r="AW40" s="765"/>
      <c r="AX40" s="765"/>
      <c r="AY40" s="765"/>
      <c r="AZ40" s="746"/>
      <c r="BA40" s="746"/>
      <c r="BB40" s="746"/>
      <c r="BC40" s="746"/>
      <c r="BD40" s="746"/>
      <c r="BE40" s="746"/>
      <c r="BF40" s="746"/>
      <c r="BG40" s="746"/>
      <c r="BH40" s="746"/>
      <c r="BI40" s="746"/>
      <c r="BJ40" s="746"/>
      <c r="BK40" s="746"/>
      <c r="BL40" s="746"/>
      <c r="BM40" s="746"/>
      <c r="BN40" s="746"/>
      <c r="CA40" s="13"/>
      <c r="CB40" s="17" t="s">
        <v>63</v>
      </c>
      <c r="CC40" s="13"/>
      <c r="CD40" s="13"/>
      <c r="CE40" s="13"/>
      <c r="CF40" s="15"/>
      <c r="CG40" s="15"/>
    </row>
    <row r="41" spans="1:85" ht="8" customHeight="1">
      <c r="A41" s="745" t="s">
        <v>83</v>
      </c>
      <c r="B41" s="745"/>
      <c r="C41" s="745"/>
      <c r="D41" s="745"/>
      <c r="E41" s="745"/>
      <c r="F41" s="745"/>
      <c r="G41" s="745"/>
      <c r="H41" s="745"/>
      <c r="I41" s="745"/>
      <c r="J41" s="745"/>
      <c r="K41" s="745"/>
      <c r="L41" s="745"/>
      <c r="M41" s="745"/>
      <c r="N41" s="745"/>
      <c r="O41" s="745"/>
      <c r="P41" s="747"/>
      <c r="Q41" s="747"/>
      <c r="R41" s="747"/>
      <c r="S41" s="747"/>
      <c r="T41" s="747"/>
      <c r="U41" s="747"/>
      <c r="V41" s="747"/>
      <c r="W41" s="747"/>
      <c r="X41" s="747"/>
      <c r="Y41" s="763"/>
      <c r="Z41" s="763"/>
      <c r="AA41" s="763"/>
      <c r="AB41" s="748"/>
      <c r="AC41" s="748"/>
      <c r="AD41" s="748"/>
      <c r="AE41" s="748"/>
      <c r="AF41" s="748"/>
      <c r="AG41" s="748"/>
      <c r="AH41" s="748"/>
      <c r="AI41" s="764"/>
      <c r="AJ41" s="764"/>
      <c r="AK41" s="764"/>
      <c r="AL41" s="764"/>
      <c r="AM41" s="764"/>
      <c r="AN41" s="764"/>
      <c r="AO41" s="764"/>
      <c r="AP41" s="766">
        <f>SUM(AP35:AY40)</f>
        <v>1573406</v>
      </c>
      <c r="AQ41" s="766"/>
      <c r="AR41" s="766"/>
      <c r="AS41" s="766"/>
      <c r="AT41" s="766"/>
      <c r="AU41" s="766"/>
      <c r="AV41" s="766"/>
      <c r="AW41" s="766"/>
      <c r="AX41" s="766"/>
      <c r="AY41" s="766"/>
      <c r="AZ41" s="746"/>
      <c r="BA41" s="746"/>
      <c r="BB41" s="746"/>
      <c r="BC41" s="746"/>
      <c r="BD41" s="746"/>
      <c r="BE41" s="746"/>
      <c r="BF41" s="746"/>
      <c r="BG41" s="746"/>
      <c r="BH41" s="746"/>
      <c r="BI41" s="746"/>
      <c r="BJ41" s="746"/>
      <c r="BK41" s="746"/>
      <c r="BL41" s="746"/>
      <c r="BM41" s="746"/>
      <c r="BN41" s="746"/>
      <c r="CA41" s="13"/>
      <c r="CB41" s="17" t="s">
        <v>64</v>
      </c>
      <c r="CC41" s="13"/>
      <c r="CD41" s="13"/>
      <c r="CE41" s="13"/>
      <c r="CF41" s="15"/>
      <c r="CG41" s="15"/>
    </row>
    <row r="42" spans="1:85" ht="8" customHeight="1">
      <c r="A42" s="745"/>
      <c r="B42" s="745"/>
      <c r="C42" s="745"/>
      <c r="D42" s="745"/>
      <c r="E42" s="745"/>
      <c r="F42" s="745"/>
      <c r="G42" s="745"/>
      <c r="H42" s="745"/>
      <c r="I42" s="745"/>
      <c r="J42" s="745"/>
      <c r="K42" s="745"/>
      <c r="L42" s="745"/>
      <c r="M42" s="745"/>
      <c r="N42" s="745"/>
      <c r="O42" s="745"/>
      <c r="P42" s="747"/>
      <c r="Q42" s="747"/>
      <c r="R42" s="747"/>
      <c r="S42" s="747"/>
      <c r="T42" s="747"/>
      <c r="U42" s="747"/>
      <c r="V42" s="747"/>
      <c r="W42" s="747"/>
      <c r="X42" s="747"/>
      <c r="Y42" s="763"/>
      <c r="Z42" s="763"/>
      <c r="AA42" s="763"/>
      <c r="AB42" s="748"/>
      <c r="AC42" s="748"/>
      <c r="AD42" s="748"/>
      <c r="AE42" s="748"/>
      <c r="AF42" s="748"/>
      <c r="AG42" s="748"/>
      <c r="AH42" s="748"/>
      <c r="AI42" s="764"/>
      <c r="AJ42" s="764"/>
      <c r="AK42" s="764"/>
      <c r="AL42" s="764"/>
      <c r="AM42" s="764"/>
      <c r="AN42" s="764"/>
      <c r="AO42" s="764"/>
      <c r="AP42" s="766"/>
      <c r="AQ42" s="766"/>
      <c r="AR42" s="766"/>
      <c r="AS42" s="766"/>
      <c r="AT42" s="766"/>
      <c r="AU42" s="766"/>
      <c r="AV42" s="766"/>
      <c r="AW42" s="766"/>
      <c r="AX42" s="766"/>
      <c r="AY42" s="766"/>
      <c r="AZ42" s="746"/>
      <c r="BA42" s="746"/>
      <c r="BB42" s="746"/>
      <c r="BC42" s="746"/>
      <c r="BD42" s="746"/>
      <c r="BE42" s="746"/>
      <c r="BF42" s="746"/>
      <c r="BG42" s="746"/>
      <c r="BH42" s="746"/>
      <c r="BI42" s="746"/>
      <c r="BJ42" s="746"/>
      <c r="BK42" s="746"/>
      <c r="BL42" s="746"/>
      <c r="BM42" s="746"/>
      <c r="BN42" s="746"/>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0"/>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619</v>
      </c>
      <c r="D6" t="s">
        <v>620</v>
      </c>
      <c r="E6" t="s">
        <v>621</v>
      </c>
      <c r="F6" t="s">
        <v>622</v>
      </c>
    </row>
    <row r="7" spans="1:6">
      <c r="A7">
        <v>7</v>
      </c>
      <c r="B7" s="287">
        <v>46064</v>
      </c>
      <c r="C7" t="s">
        <v>662</v>
      </c>
      <c r="D7" t="s">
        <v>663</v>
      </c>
      <c r="E7" t="s">
        <v>664</v>
      </c>
      <c r="F7" t="s">
        <v>665</v>
      </c>
    </row>
    <row r="8" spans="1:6">
      <c r="A8">
        <v>8</v>
      </c>
      <c r="B8" s="287">
        <v>46064</v>
      </c>
      <c r="C8" t="s">
        <v>666</v>
      </c>
      <c r="D8" t="s">
        <v>667</v>
      </c>
      <c r="E8" t="s">
        <v>668</v>
      </c>
      <c r="F8" t="s">
        <v>669</v>
      </c>
    </row>
    <row r="9" spans="1:6">
      <c r="A9">
        <v>9</v>
      </c>
      <c r="B9" s="287">
        <v>46064</v>
      </c>
      <c r="C9" t="s">
        <v>741</v>
      </c>
      <c r="D9" t="s">
        <v>742</v>
      </c>
      <c r="E9" t="s">
        <v>743</v>
      </c>
      <c r="F9" t="s">
        <v>744</v>
      </c>
    </row>
    <row r="10" spans="1:6">
      <c r="A10">
        <v>10</v>
      </c>
      <c r="B10" s="287">
        <v>46064</v>
      </c>
      <c r="C10" t="s">
        <v>752</v>
      </c>
      <c r="D10" t="s">
        <v>753</v>
      </c>
      <c r="E10" t="s">
        <v>754</v>
      </c>
      <c r="F10" t="s">
        <v>755</v>
      </c>
    </row>
    <row r="11" spans="1:6">
      <c r="A11">
        <v>11</v>
      </c>
      <c r="B11" s="287">
        <v>46064</v>
      </c>
      <c r="C11" t="s">
        <v>759</v>
      </c>
      <c r="D11" t="s">
        <v>760</v>
      </c>
      <c r="E11" t="s">
        <v>761</v>
      </c>
      <c r="F11" t="s">
        <v>762</v>
      </c>
    </row>
    <row r="12" spans="1:6">
      <c r="A12">
        <v>12</v>
      </c>
      <c r="B12" s="287">
        <v>46064</v>
      </c>
      <c r="C12" t="s">
        <v>777</v>
      </c>
      <c r="D12" t="s">
        <v>778</v>
      </c>
      <c r="E12" t="s">
        <v>779</v>
      </c>
      <c r="F12" t="s">
        <v>780</v>
      </c>
    </row>
    <row r="13" spans="1:6">
      <c r="A13">
        <v>13</v>
      </c>
      <c r="B13" s="287">
        <v>46064</v>
      </c>
      <c r="C13" t="s">
        <v>891</v>
      </c>
      <c r="D13" t="s">
        <v>892</v>
      </c>
      <c r="E13" t="s">
        <v>893</v>
      </c>
      <c r="F13" t="s">
        <v>894</v>
      </c>
    </row>
    <row r="14" spans="1:6">
      <c r="A14">
        <v>14</v>
      </c>
      <c r="B14" s="287">
        <v>46064</v>
      </c>
      <c r="C14" t="s">
        <v>915</v>
      </c>
      <c r="D14" t="s">
        <v>916</v>
      </c>
      <c r="E14" t="s">
        <v>917</v>
      </c>
      <c r="F14" t="s">
        <v>918</v>
      </c>
    </row>
    <row r="15" spans="1:6">
      <c r="A15">
        <v>15</v>
      </c>
      <c r="B15" s="287">
        <v>46064</v>
      </c>
      <c r="C15" t="s">
        <v>919</v>
      </c>
      <c r="D15" t="s">
        <v>920</v>
      </c>
      <c r="E15" t="s">
        <v>921</v>
      </c>
      <c r="F15" t="s">
        <v>922</v>
      </c>
    </row>
    <row r="16" spans="1:6">
      <c r="A16">
        <v>15</v>
      </c>
      <c r="B16" s="287">
        <v>46064</v>
      </c>
      <c r="C16" t="s">
        <v>923</v>
      </c>
      <c r="D16" t="s">
        <v>924</v>
      </c>
      <c r="E16" t="s">
        <v>925</v>
      </c>
      <c r="F16" t="s">
        <v>926</v>
      </c>
    </row>
    <row r="17" spans="1:6">
      <c r="A17">
        <v>16</v>
      </c>
      <c r="B17" s="287">
        <v>46064</v>
      </c>
      <c r="C17" t="s">
        <v>927</v>
      </c>
      <c r="D17" t="s">
        <v>928</v>
      </c>
      <c r="E17" t="s">
        <v>929</v>
      </c>
      <c r="F17" t="s">
        <v>930</v>
      </c>
    </row>
    <row r="18" spans="1:6">
      <c r="A18">
        <v>17</v>
      </c>
      <c r="B18" s="287">
        <v>46064</v>
      </c>
      <c r="C18" t="s">
        <v>933</v>
      </c>
      <c r="D18" t="s">
        <v>934</v>
      </c>
      <c r="E18" t="s">
        <v>935</v>
      </c>
      <c r="F18" t="s">
        <v>936</v>
      </c>
    </row>
    <row r="19" spans="1:6">
      <c r="A19">
        <v>18</v>
      </c>
      <c r="B19">
        <f ca="1">TODAY()</f>
        <v>46064</v>
      </c>
      <c r="C19" t="s">
        <v>937</v>
      </c>
      <c r="D19" t="s">
        <v>938</v>
      </c>
      <c r="E19" t="s">
        <v>939</v>
      </c>
      <c r="F19" t="s">
        <v>940</v>
      </c>
    </row>
    <row r="20" spans="1:6">
      <c r="A20">
        <v>19</v>
      </c>
      <c r="B20">
        <f ca="1">TODAY()</f>
        <v>46064</v>
      </c>
      <c r="C20" t="s">
        <v>941</v>
      </c>
      <c r="D20" t="s">
        <v>942</v>
      </c>
      <c r="E20" t="s">
        <v>943</v>
      </c>
      <c r="F20" t="s">
        <v>944</v>
      </c>
    </row>
    <row r="21" spans="1:6">
      <c r="A21">
        <v>20</v>
      </c>
      <c r="B21">
        <f ca="1">TODAY()</f>
        <v>46064</v>
      </c>
      <c r="C21" t="s">
        <v>1014</v>
      </c>
      <c r="D21" t="s">
        <v>1015</v>
      </c>
      <c r="E21" t="s">
        <v>1016</v>
      </c>
      <c r="F21" t="s">
        <v>1017</v>
      </c>
    </row>
    <row r="22" spans="1:6">
      <c r="A22">
        <v>21</v>
      </c>
      <c r="B22">
        <f ca="1">TODAY()</f>
        <v>46064</v>
      </c>
      <c r="C22" t="s">
        <v>1018</v>
      </c>
      <c r="D22" t="s">
        <v>1019</v>
      </c>
      <c r="E22" t="s">
        <v>1020</v>
      </c>
      <c r="F22" t="s">
        <v>1021</v>
      </c>
    </row>
    <row r="23" spans="1:6">
      <c r="A23">
        <v>22</v>
      </c>
      <c r="B23">
        <f ca="1">TODAY()</f>
        <v>46064</v>
      </c>
      <c r="C23" t="s">
        <v>1069</v>
      </c>
      <c r="D23" t="s">
        <v>1070</v>
      </c>
      <c r="E23" t="s">
        <v>1071</v>
      </c>
      <c r="F23" t="s">
        <v>1072</v>
      </c>
    </row>
    <row r="24" spans="1:6">
      <c r="A24">
        <v>23</v>
      </c>
      <c r="B24">
        <f ca="1">TODAY()</f>
        <v>46064</v>
      </c>
      <c r="C24" t="s">
        <v>1073</v>
      </c>
      <c r="D24" t="s">
        <v>1074</v>
      </c>
      <c r="E24" t="s">
        <v>1075</v>
      </c>
      <c r="F24" t="s">
        <v>1076</v>
      </c>
    </row>
    <row r="25" spans="1:6">
      <c r="A25">
        <v>24</v>
      </c>
      <c r="B25">
        <f ca="1">TODAY()</f>
        <v>46064</v>
      </c>
      <c r="C25" t="s">
        <v>1088</v>
      </c>
      <c r="D25" t="s">
        <v>1089</v>
      </c>
      <c r="E25" t="s">
        <v>1090</v>
      </c>
      <c r="F25" t="s">
        <v>1091</v>
      </c>
    </row>
    <row r="26" spans="1:6">
      <c r="A26">
        <v>25</v>
      </c>
      <c r="B26">
        <f ca="1">TODAY()</f>
        <v>46064</v>
      </c>
      <c r="C26" t="s">
        <v>1092</v>
      </c>
      <c r="D26" t="s">
        <v>1093</v>
      </c>
      <c r="E26" t="s">
        <v>1094</v>
      </c>
      <c r="F26" t="s">
        <v>1095</v>
      </c>
    </row>
    <row r="27" spans="1:6">
      <c r="A27">
        <v>26</v>
      </c>
      <c r="B27">
        <f ca="1">TODAY()</f>
        <v>46064</v>
      </c>
      <c r="C27" t="s">
        <v>1096</v>
      </c>
      <c r="D27" t="s">
        <v>1097</v>
      </c>
      <c r="E27" t="s">
        <v>1098</v>
      </c>
      <c r="F27" t="s">
        <v>1099</v>
      </c>
    </row>
    <row r="28" spans="1:6">
      <c r="A28">
        <v>27</v>
      </c>
      <c r="B28">
        <f ca="1">TODAY()</f>
        <v>46064</v>
      </c>
      <c r="C28" t="s">
        <v>1345</v>
      </c>
      <c r="D28" t="s">
        <v>1346</v>
      </c>
      <c r="E28" t="s">
        <v>1347</v>
      </c>
      <c r="F28" t="s">
        <v>1348</v>
      </c>
    </row>
    <row r="29" spans="1:6">
      <c r="A29">
        <v>28</v>
      </c>
      <c r="B29" s="287">
        <v>46064</v>
      </c>
      <c r="C29" t="s">
        <v>1399</v>
      </c>
      <c r="D29" t="s">
        <v>1400</v>
      </c>
      <c r="E29" t="s">
        <v>1401</v>
      </c>
      <c r="F29" t="s">
        <v>1402</v>
      </c>
    </row>
    <row r="30" spans="1:6">
      <c r="A30">
        <v>29</v>
      </c>
      <c r="B30" s="287">
        <v>46064</v>
      </c>
      <c r="C30" t="s">
        <v>1658</v>
      </c>
      <c r="D30" t="s">
        <v>1659</v>
      </c>
      <c r="E30" t="s">
        <v>1660</v>
      </c>
      <c r="F30" t="s">
        <v>1661</v>
      </c>
    </row>
    <row r="31" spans="1:6">
      <c r="A31">
        <v>30</v>
      </c>
      <c r="B31" s="287">
        <v>46064</v>
      </c>
      <c r="C31" t="s">
        <v>1662</v>
      </c>
      <c r="D31" t="s">
        <v>1663</v>
      </c>
      <c r="E31" t="s">
        <v>1664</v>
      </c>
      <c r="F31" t="s">
        <v>1665</v>
      </c>
    </row>
    <row r="32" spans="1:6">
      <c r="A32">
        <v>31</v>
      </c>
      <c r="B32" s="287">
        <v>46064</v>
      </c>
      <c r="C32" t="s">
        <v>1666</v>
      </c>
      <c r="D32" t="s">
        <v>1667</v>
      </c>
      <c r="E32" t="s">
        <v>1668</v>
      </c>
      <c r="F32" t="s">
        <v>1669</v>
      </c>
    </row>
    <row r="33" spans="1:6">
      <c r="A33">
        <v>32</v>
      </c>
      <c r="B33" s="287">
        <v>46064</v>
      </c>
      <c r="C33" t="s">
        <v>1670</v>
      </c>
      <c r="D33" t="s">
        <v>1671</v>
      </c>
      <c r="E33" t="s">
        <v>1672</v>
      </c>
      <c r="F33" t="s">
        <v>1673</v>
      </c>
    </row>
    <row r="34" spans="1:6">
      <c r="A34">
        <v>33</v>
      </c>
      <c r="B34" s="287">
        <v>46064</v>
      </c>
      <c r="C34" t="s">
        <v>1755</v>
      </c>
      <c r="D34" t="s">
        <v>1756</v>
      </c>
      <c r="E34" t="s">
        <v>1757</v>
      </c>
      <c r="F34" t="s">
        <v>1758</v>
      </c>
    </row>
    <row r="35" spans="1:6">
      <c r="A35">
        <v>34</v>
      </c>
      <c r="B35" s="287">
        <v>46064</v>
      </c>
      <c r="C35" t="s">
        <v>1788</v>
      </c>
      <c r="D35" t="s">
        <v>1789</v>
      </c>
      <c r="E35" t="s">
        <v>1790</v>
      </c>
      <c r="F35" t="s">
        <v>1791</v>
      </c>
    </row>
    <row r="36" spans="1:6">
      <c r="A36">
        <v>35</v>
      </c>
      <c r="B36" s="287">
        <v>46064</v>
      </c>
      <c r="C36" t="s">
        <v>1792</v>
      </c>
      <c r="D36" t="s">
        <v>1793</v>
      </c>
      <c r="E36" t="s">
        <v>1794</v>
      </c>
      <c r="F36" t="s">
        <v>1795</v>
      </c>
    </row>
    <row r="37" spans="1:6">
      <c r="A37">
        <v>36</v>
      </c>
      <c r="B37" s="287">
        <v>46064</v>
      </c>
      <c r="C37" t="s">
        <v>1903</v>
      </c>
      <c r="D37" t="s">
        <v>1904</v>
      </c>
      <c r="E37" t="s">
        <v>1905</v>
      </c>
      <c r="F37" t="s">
        <v>1906</v>
      </c>
    </row>
    <row r="38" spans="1:6">
      <c r="A38">
        <v>37</v>
      </c>
      <c r="B38" s="287">
        <v>46064</v>
      </c>
      <c r="C38" t="s">
        <v>1935</v>
      </c>
      <c r="D38" t="s">
        <v>1936</v>
      </c>
      <c r="E38" t="s">
        <v>1937</v>
      </c>
      <c r="F38" t="s">
        <v>1938</v>
      </c>
    </row>
    <row r="39" spans="1:6">
      <c r="A39">
        <v>38</v>
      </c>
      <c r="B39" s="287">
        <v>46064</v>
      </c>
      <c r="C39" t="s">
        <v>1939</v>
      </c>
      <c r="D39" t="s">
        <v>1940</v>
      </c>
      <c r="E39" t="s">
        <v>1941</v>
      </c>
      <c r="F39" t="s">
        <v>1942</v>
      </c>
    </row>
    <row r="40" spans="1:6">
      <c r="A40">
        <v>39</v>
      </c>
      <c r="B40" s="287">
        <v>46064</v>
      </c>
      <c r="C40" t="s">
        <v>1943</v>
      </c>
      <c r="D40" t="s">
        <v>1944</v>
      </c>
      <c r="E40" t="s">
        <v>1945</v>
      </c>
      <c r="F40" t="s">
        <v>1946</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52" t="s">
        <v>1022</v>
      </c>
      <c r="F1" s="853" t="s">
        <v>706</v>
      </c>
    </row>
    <row r="2" spans="1:34" ht="20" customHeight="1">
      <c r="A2" s="854" t="s">
        <v>996</v>
      </c>
      <c r="B2" s="855" t="s">
        <v>601</v>
      </c>
      <c r="D2" s="854" t="s">
        <v>1023</v>
      </c>
      <c r="E2" s="856">
        <v>46068</v>
      </c>
      <c r="F2" s="857" t="s">
        <v>1024</v>
      </c>
    </row>
    <row r="3" spans="1:34" ht="20" customHeight="1">
      <c r="A3" s="858" t="s">
        <v>674</v>
      </c>
      <c r="B3" s="835" t="str">
        <f>IFERROR(VLOOKUP(B2,案件管理!A:D,4,FALSE),"")</f>
        <v>吉野様邸 キッチンリフォーム</v>
      </c>
      <c r="D3" s="854" t="s">
        <v>1025</v>
      </c>
      <c r="E3" s="856">
        <f>E2+83</f>
        <v>46151</v>
      </c>
    </row>
    <row r="4" spans="1:34" ht="20" customHeight="1" thickBot="1">
      <c r="A4" s="858" t="s">
        <v>339</v>
      </c>
      <c r="B4" s="835" t="str">
        <f>IFERROR(VLOOKUP(B2,案件管理!A:D,3,FALSE),"")&amp;"  "&amp;IFERROR(VLOOKUP(VLOOKUP(B2,案件管理!A:B,2,FALSE),顧客マスタ!A:D,4,FALSE),"様")</f>
        <v>吉野  様</v>
      </c>
      <c r="D4" s="858" t="s">
        <v>340</v>
      </c>
      <c r="E4" s="835" t="str">
        <f>操作パネル!F8</f>
        <v>東京都港区南麻布</v>
      </c>
    </row>
    <row r="5" spans="1:34" ht="18" customHeight="1">
      <c r="A5" s="888" t="s">
        <v>321</v>
      </c>
      <c r="B5" s="879" t="s">
        <v>1026</v>
      </c>
      <c r="C5" s="879" t="s">
        <v>1027</v>
      </c>
      <c r="D5" s="879" t="s">
        <v>1028</v>
      </c>
      <c r="E5" s="879" t="s">
        <v>1029</v>
      </c>
      <c r="F5" s="879" t="s">
        <v>1030</v>
      </c>
      <c r="G5" s="880" t="s">
        <v>1031</v>
      </c>
      <c r="H5" s="881"/>
      <c r="I5" s="880" t="s">
        <v>1032</v>
      </c>
      <c r="J5" s="881"/>
      <c r="K5" s="882" t="s">
        <v>1033</v>
      </c>
      <c r="L5" s="881"/>
      <c r="M5" s="882" t="s">
        <v>1034</v>
      </c>
      <c r="N5" s="881"/>
      <c r="O5" s="882" t="s">
        <v>1035</v>
      </c>
      <c r="P5" s="881"/>
      <c r="Q5" s="882" t="s">
        <v>1036</v>
      </c>
      <c r="R5" s="881"/>
      <c r="S5" s="882" t="s">
        <v>1037</v>
      </c>
      <c r="T5" s="881"/>
      <c r="U5" s="882" t="s">
        <v>1038</v>
      </c>
      <c r="V5" s="881"/>
      <c r="W5" s="882" t="s">
        <v>1039</v>
      </c>
      <c r="X5" s="881"/>
      <c r="Y5" s="882" t="s">
        <v>1040</v>
      </c>
      <c r="Z5" s="881"/>
      <c r="AA5" s="882" t="s">
        <v>1041</v>
      </c>
      <c r="AB5" s="881"/>
      <c r="AC5" s="882" t="s">
        <v>1042</v>
      </c>
      <c r="AD5" s="881"/>
      <c r="AE5" s="882" t="s">
        <v>1043</v>
      </c>
      <c r="AF5" s="881"/>
      <c r="AG5" s="882" t="s">
        <v>1044</v>
      </c>
      <c r="AH5" s="894"/>
    </row>
    <row r="6" spans="1:34" ht="18" customHeight="1" thickBot="1">
      <c r="A6" s="889"/>
      <c r="B6" s="873"/>
      <c r="C6" s="873"/>
      <c r="D6" s="873"/>
      <c r="E6" s="873"/>
      <c r="F6" s="875"/>
      <c r="G6" s="874">
        <f>$E$2+0</f>
        <v>46068</v>
      </c>
      <c r="H6" s="874">
        <f>$E$2+3</f>
        <v>46071</v>
      </c>
      <c r="I6" s="874">
        <f>$E$2+6</f>
        <v>46074</v>
      </c>
      <c r="J6" s="874">
        <f>$E$2+9</f>
        <v>46077</v>
      </c>
      <c r="K6" s="874">
        <f>$E$2+12</f>
        <v>46080</v>
      </c>
      <c r="L6" s="874">
        <f>$E$2+15</f>
        <v>46083</v>
      </c>
      <c r="M6" s="874">
        <f>$E$2+18</f>
        <v>46086</v>
      </c>
      <c r="N6" s="874">
        <f>$E$2+21</f>
        <v>46089</v>
      </c>
      <c r="O6" s="874">
        <f>$E$2+24</f>
        <v>46092</v>
      </c>
      <c r="P6" s="874">
        <f>$E$2+27</f>
        <v>46095</v>
      </c>
      <c r="Q6" s="874">
        <f>$E$2+30</f>
        <v>46098</v>
      </c>
      <c r="R6" s="874">
        <f>$E$2+33</f>
        <v>46101</v>
      </c>
      <c r="S6" s="874">
        <f>$E$2+36</f>
        <v>46104</v>
      </c>
      <c r="T6" s="874">
        <f>$E$2+39</f>
        <v>46107</v>
      </c>
      <c r="U6" s="874">
        <f>$E$2+42</f>
        <v>46110</v>
      </c>
      <c r="V6" s="874">
        <f>$E$2+45</f>
        <v>46113</v>
      </c>
      <c r="W6" s="874">
        <f>$E$2+48</f>
        <v>46116</v>
      </c>
      <c r="X6" s="874">
        <f>$E$2+51</f>
        <v>46119</v>
      </c>
      <c r="Y6" s="874">
        <f>$E$2+54</f>
        <v>46122</v>
      </c>
      <c r="Z6" s="874">
        <f>$E$2+57</f>
        <v>46125</v>
      </c>
      <c r="AA6" s="874">
        <f>$E$2+60</f>
        <v>46128</v>
      </c>
      <c r="AB6" s="874">
        <f>$E$2+63</f>
        <v>46131</v>
      </c>
      <c r="AC6" s="874">
        <f>$E$2+66</f>
        <v>46134</v>
      </c>
      <c r="AD6" s="874">
        <f>$E$2+69</f>
        <v>46137</v>
      </c>
      <c r="AE6" s="874">
        <f>$E$2+72</f>
        <v>46140</v>
      </c>
      <c r="AF6" s="874">
        <f>$E$2+75</f>
        <v>46143</v>
      </c>
      <c r="AG6" s="874">
        <f>$E$2+78</f>
        <v>46146</v>
      </c>
      <c r="AH6" s="895">
        <f>$E$2+81</f>
        <v>46149</v>
      </c>
    </row>
    <row r="7" spans="1:34" ht="16" customHeight="1">
      <c r="A7" s="890">
        <f>IF(B7&lt;&gt;"",ROW()-6,"")</f>
        <v>1</v>
      </c>
      <c r="B7" s="919" t="s">
        <v>1082</v>
      </c>
      <c r="C7" s="864" t="s">
        <v>1056</v>
      </c>
      <c r="D7" s="865">
        <v>46068</v>
      </c>
      <c r="E7" s="865">
        <v>46069</v>
      </c>
      <c r="F7" s="876">
        <f>IF(AND(D7&lt;&gt;"",E7&lt;&gt;""),E7-D7+1,"")</f>
        <v>2</v>
      </c>
      <c r="G7" s="869" t="str">
        <f>IF(AND($D7&lt;&gt;"",$E7&lt;&gt;""),IF(AND($E7&gt;=G$6,$D7&lt;=G$6+2),"■",""),"")</f>
        <v>■</v>
      </c>
      <c r="H7" s="869" t="str">
        <f>IF(AND($D7&lt;&gt;"",$E7&lt;&gt;""),IF(AND($E7&gt;=H$6,$D7&lt;=H$6+2),"■",""),"")</f>
        <v/>
      </c>
      <c r="I7" s="869" t="str">
        <f>IF(AND($D7&lt;&gt;"",$E7&lt;&gt;""),IF(AND($E7&gt;=I$6,$D7&lt;=I$6+2),"■",""),"")</f>
        <v/>
      </c>
      <c r="J7" s="869" t="str">
        <f>IF(AND($D7&lt;&gt;"",$E7&lt;&gt;""),IF(AND($E7&gt;=J$6,$D7&lt;=J$6+2),"■",""),"")</f>
        <v/>
      </c>
      <c r="K7" s="869" t="str">
        <f>IF(AND($D7&lt;&gt;"",$E7&lt;&gt;""),IF(AND($E7&gt;=K$6,$D7&lt;=K$6+2),"■",""),"")</f>
        <v/>
      </c>
      <c r="L7" s="869" t="str">
        <f>IF(AND($D7&lt;&gt;"",$E7&lt;&gt;""),IF(AND($E7&gt;=L$6,$D7&lt;=L$6+2),"■",""),"")</f>
        <v/>
      </c>
      <c r="M7" s="869" t="str">
        <f>IF(AND($D7&lt;&gt;"",$E7&lt;&gt;""),IF(AND($E7&gt;=M$6,$D7&lt;=M$6+2),"■",""),"")</f>
        <v/>
      </c>
      <c r="N7" s="869" t="str">
        <f>IF(AND($D7&lt;&gt;"",$E7&lt;&gt;""),IF(AND($E7&gt;=N$6,$D7&lt;=N$6+2),"■",""),"")</f>
        <v/>
      </c>
      <c r="O7" s="869" t="str">
        <f>IF(AND($D7&lt;&gt;"",$E7&lt;&gt;""),IF(AND($E7&gt;=O$6,$D7&lt;=O$6+2),"■",""),"")</f>
        <v/>
      </c>
      <c r="P7" s="869" t="str">
        <f>IF(AND($D7&lt;&gt;"",$E7&lt;&gt;""),IF(AND($E7&gt;=P$6,$D7&lt;=P$6+2),"■",""),"")</f>
        <v/>
      </c>
      <c r="Q7" s="869" t="str">
        <f>IF(AND($D7&lt;&gt;"",$E7&lt;&gt;""),IF(AND($E7&gt;=Q$6,$D7&lt;=Q$6+2),"■",""),"")</f>
        <v/>
      </c>
      <c r="R7" s="869" t="str">
        <f>IF(AND($D7&lt;&gt;"",$E7&lt;&gt;""),IF(AND($E7&gt;=R$6,$D7&lt;=R$6+2),"■",""),"")</f>
        <v/>
      </c>
      <c r="S7" s="869" t="str">
        <f>IF(AND($D7&lt;&gt;"",$E7&lt;&gt;""),IF(AND($E7&gt;=S$6,$D7&lt;=S$6+2),"■",""),"")</f>
        <v/>
      </c>
      <c r="T7" s="869" t="str">
        <f>IF(AND($D7&lt;&gt;"",$E7&lt;&gt;""),IF(AND($E7&gt;=T$6,$D7&lt;=T$6+2),"■",""),"")</f>
        <v/>
      </c>
      <c r="U7" s="869" t="str">
        <f>IF(AND($D7&lt;&gt;"",$E7&lt;&gt;""),IF(AND($E7&gt;=U$6,$D7&lt;=U$6+2),"■",""),"")</f>
        <v/>
      </c>
      <c r="V7" s="869" t="str">
        <f>IF(AND($D7&lt;&gt;"",$E7&lt;&gt;""),IF(AND($E7&gt;=V$6,$D7&lt;=V$6+2),"■",""),"")</f>
        <v/>
      </c>
      <c r="W7" s="869" t="str">
        <f>IF(AND($D7&lt;&gt;"",$E7&lt;&gt;""),IF(AND($E7&gt;=W$6,$D7&lt;=W$6+2),"■",""),"")</f>
        <v/>
      </c>
      <c r="X7" s="869" t="str">
        <f>IF(AND($D7&lt;&gt;"",$E7&lt;&gt;""),IF(AND($E7&gt;=X$6,$D7&lt;=X$6+2),"■",""),"")</f>
        <v/>
      </c>
      <c r="Y7" s="869" t="str">
        <f>IF(AND($D7&lt;&gt;"",$E7&lt;&gt;""),IF(AND($E7&gt;=Y$6,$D7&lt;=Y$6+2),"■",""),"")</f>
        <v/>
      </c>
      <c r="Z7" s="869" t="str">
        <f>IF(AND($D7&lt;&gt;"",$E7&lt;&gt;""),IF(AND($E7&gt;=Z$6,$D7&lt;=Z$6+2),"■",""),"")</f>
        <v/>
      </c>
      <c r="AA7" s="869" t="str">
        <f>IF(AND($D7&lt;&gt;"",$E7&lt;&gt;""),IF(AND($E7&gt;=AA$6,$D7&lt;=AA$6+2),"■",""),"")</f>
        <v/>
      </c>
      <c r="AB7" s="869" t="str">
        <f>IF(AND($D7&lt;&gt;"",$E7&lt;&gt;""),IF(AND($E7&gt;=AB$6,$D7&lt;=AB$6+2),"■",""),"")</f>
        <v/>
      </c>
      <c r="AC7" s="869" t="str">
        <f>IF(AND($D7&lt;&gt;"",$E7&lt;&gt;""),IF(AND($E7&gt;=AC$6,$D7&lt;=AC$6+2),"■",""),"")</f>
        <v/>
      </c>
      <c r="AD7" s="869" t="str">
        <f>IF(AND($D7&lt;&gt;"",$E7&lt;&gt;""),IF(AND($E7&gt;=AD$6,$D7&lt;=AD$6+2),"■",""),"")</f>
        <v/>
      </c>
      <c r="AE7" s="869" t="str">
        <f>IF(AND($D7&lt;&gt;"",$E7&lt;&gt;""),IF(AND($E7&gt;=AE$6,$D7&lt;=AE$6+2),"■",""),"")</f>
        <v/>
      </c>
      <c r="AF7" s="869" t="str">
        <f>IF(AND($D7&lt;&gt;"",$E7&lt;&gt;""),IF(AND($E7&gt;=AF$6,$D7&lt;=AF$6+2),"■",""),"")</f>
        <v/>
      </c>
      <c r="AG7" s="869" t="str">
        <f>IF(AND($D7&lt;&gt;"",$E7&lt;&gt;""),IF(AND($E7&gt;=AG$6,$D7&lt;=AG$6+2),"■",""),"")</f>
        <v/>
      </c>
      <c r="AH7" s="896" t="str">
        <f>IF(AND($D7&lt;&gt;"",$E7&lt;&gt;""),IF(AND($E7&gt;=AH$6,$D7&lt;=AH$6+2),"■",""),"")</f>
        <v/>
      </c>
    </row>
    <row r="8" spans="1:34" ht="16" customHeight="1">
      <c r="A8" s="891">
        <f>IF(B8&lt;&gt;"",ROW()-6,"")</f>
        <v>2</v>
      </c>
      <c r="B8" s="920" t="s">
        <v>1078</v>
      </c>
      <c r="C8" s="866" t="s">
        <v>1083</v>
      </c>
      <c r="D8" s="867">
        <v>46070</v>
      </c>
      <c r="E8" s="867">
        <v>46074</v>
      </c>
      <c r="F8" s="877">
        <f>IF(AND(D8&lt;&gt;"",E8&lt;&gt;""),E8-D8+1,"")</f>
        <v>5</v>
      </c>
      <c r="G8" s="870" t="str">
        <f>IF(AND($D8&lt;&gt;"",$E8&lt;&gt;""),IF(AND($E8&gt;=G$6,$D8&lt;=G$6+2),"■",""),"")</f>
        <v>■</v>
      </c>
      <c r="H8" s="870" t="str">
        <f>IF(AND($D8&lt;&gt;"",$E8&lt;&gt;""),IF(AND($E8&gt;=H$6,$D8&lt;=H$6+2),"■",""),"")</f>
        <v>■</v>
      </c>
      <c r="I8" s="870" t="str">
        <f>IF(AND($D8&lt;&gt;"",$E8&lt;&gt;""),IF(AND($E8&gt;=I$6,$D8&lt;=I$6+2),"■",""),"")</f>
        <v>■</v>
      </c>
      <c r="J8" s="870" t="str">
        <f>IF(AND($D8&lt;&gt;"",$E8&lt;&gt;""),IF(AND($E8&gt;=J$6,$D8&lt;=J$6+2),"■",""),"")</f>
        <v/>
      </c>
      <c r="K8" s="870" t="str">
        <f>IF(AND($D8&lt;&gt;"",$E8&lt;&gt;""),IF(AND($E8&gt;=K$6,$D8&lt;=K$6+2),"■",""),"")</f>
        <v/>
      </c>
      <c r="L8" s="870" t="str">
        <f>IF(AND($D8&lt;&gt;"",$E8&lt;&gt;""),IF(AND($E8&gt;=L$6,$D8&lt;=L$6+2),"■",""),"")</f>
        <v/>
      </c>
      <c r="M8" s="870" t="str">
        <f>IF(AND($D8&lt;&gt;"",$E8&lt;&gt;""),IF(AND($E8&gt;=M$6,$D8&lt;=M$6+2),"■",""),"")</f>
        <v/>
      </c>
      <c r="N8" s="870" t="str">
        <f>IF(AND($D8&lt;&gt;"",$E8&lt;&gt;""),IF(AND($E8&gt;=N$6,$D8&lt;=N$6+2),"■",""),"")</f>
        <v/>
      </c>
      <c r="O8" s="870" t="str">
        <f>IF(AND($D8&lt;&gt;"",$E8&lt;&gt;""),IF(AND($E8&gt;=O$6,$D8&lt;=O$6+2),"■",""),"")</f>
        <v/>
      </c>
      <c r="P8" s="870" t="str">
        <f>IF(AND($D8&lt;&gt;"",$E8&lt;&gt;""),IF(AND($E8&gt;=P$6,$D8&lt;=P$6+2),"■",""),"")</f>
        <v/>
      </c>
      <c r="Q8" s="870" t="str">
        <f>IF(AND($D8&lt;&gt;"",$E8&lt;&gt;""),IF(AND($E8&gt;=Q$6,$D8&lt;=Q$6+2),"■",""),"")</f>
        <v/>
      </c>
      <c r="R8" s="870" t="str">
        <f>IF(AND($D8&lt;&gt;"",$E8&lt;&gt;""),IF(AND($E8&gt;=R$6,$D8&lt;=R$6+2),"■",""),"")</f>
        <v/>
      </c>
      <c r="S8" s="870" t="str">
        <f>IF(AND($D8&lt;&gt;"",$E8&lt;&gt;""),IF(AND($E8&gt;=S$6,$D8&lt;=S$6+2),"■",""),"")</f>
        <v/>
      </c>
      <c r="T8" s="870" t="str">
        <f>IF(AND($D8&lt;&gt;"",$E8&lt;&gt;""),IF(AND($E8&gt;=T$6,$D8&lt;=T$6+2),"■",""),"")</f>
        <v/>
      </c>
      <c r="U8" s="870" t="str">
        <f>IF(AND($D8&lt;&gt;"",$E8&lt;&gt;""),IF(AND($E8&gt;=U$6,$D8&lt;=U$6+2),"■",""),"")</f>
        <v/>
      </c>
      <c r="V8" s="870" t="str">
        <f>IF(AND($D8&lt;&gt;"",$E8&lt;&gt;""),IF(AND($E8&gt;=V$6,$D8&lt;=V$6+2),"■",""),"")</f>
        <v/>
      </c>
      <c r="W8" s="870" t="str">
        <f>IF(AND($D8&lt;&gt;"",$E8&lt;&gt;""),IF(AND($E8&gt;=W$6,$D8&lt;=W$6+2),"■",""),"")</f>
        <v/>
      </c>
      <c r="X8" s="870" t="str">
        <f>IF(AND($D8&lt;&gt;"",$E8&lt;&gt;""),IF(AND($E8&gt;=X$6,$D8&lt;=X$6+2),"■",""),"")</f>
        <v/>
      </c>
      <c r="Y8" s="870" t="str">
        <f>IF(AND($D8&lt;&gt;"",$E8&lt;&gt;""),IF(AND($E8&gt;=Y$6,$D8&lt;=Y$6+2),"■",""),"")</f>
        <v/>
      </c>
      <c r="Z8" s="870" t="str">
        <f>IF(AND($D8&lt;&gt;"",$E8&lt;&gt;""),IF(AND($E8&gt;=Z$6,$D8&lt;=Z$6+2),"■",""),"")</f>
        <v/>
      </c>
      <c r="AA8" s="870" t="str">
        <f>IF(AND($D8&lt;&gt;"",$E8&lt;&gt;""),IF(AND($E8&gt;=AA$6,$D8&lt;=AA$6+2),"■",""),"")</f>
        <v/>
      </c>
      <c r="AB8" s="870" t="str">
        <f>IF(AND($D8&lt;&gt;"",$E8&lt;&gt;""),IF(AND($E8&gt;=AB$6,$D8&lt;=AB$6+2),"■",""),"")</f>
        <v/>
      </c>
      <c r="AC8" s="870" t="str">
        <f>IF(AND($D8&lt;&gt;"",$E8&lt;&gt;""),IF(AND($E8&gt;=AC$6,$D8&lt;=AC$6+2),"■",""),"")</f>
        <v/>
      </c>
      <c r="AD8" s="870" t="str">
        <f>IF(AND($D8&lt;&gt;"",$E8&lt;&gt;""),IF(AND($E8&gt;=AD$6,$D8&lt;=AD$6+2),"■",""),"")</f>
        <v/>
      </c>
      <c r="AE8" s="870" t="str">
        <f>IF(AND($D8&lt;&gt;"",$E8&lt;&gt;""),IF(AND($E8&gt;=AE$6,$D8&lt;=AE$6+2),"■",""),"")</f>
        <v/>
      </c>
      <c r="AF8" s="870" t="str">
        <f>IF(AND($D8&lt;&gt;"",$E8&lt;&gt;""),IF(AND($E8&gt;=AF$6,$D8&lt;=AF$6+2),"■",""),"")</f>
        <v/>
      </c>
      <c r="AG8" s="870" t="str">
        <f>IF(AND($D8&lt;&gt;"",$E8&lt;&gt;""),IF(AND($E8&gt;=AG$6,$D8&lt;=AG$6+2),"■",""),"")</f>
        <v/>
      </c>
      <c r="AH8" s="897" t="str">
        <f>IF(AND($D8&lt;&gt;"",$E8&lt;&gt;""),IF(AND($E8&gt;=AH$6,$D8&lt;=AH$6+2),"■",""),"")</f>
        <v/>
      </c>
    </row>
    <row r="9" spans="1:34" ht="16" customHeight="1">
      <c r="A9" s="892">
        <f>IF(B9&lt;&gt;"",ROW()-6,"")</f>
        <v>3</v>
      </c>
      <c r="B9" s="919" t="s">
        <v>1080</v>
      </c>
      <c r="C9" s="864" t="s">
        <v>1057</v>
      </c>
      <c r="D9" s="865">
        <v>46075</v>
      </c>
      <c r="E9" s="865">
        <v>46081</v>
      </c>
      <c r="F9" s="878">
        <f>IF(AND(D9&lt;&gt;"",E9&lt;&gt;""),E9-D9+1,"")</f>
        <v>7</v>
      </c>
      <c r="G9" s="869" t="str">
        <f>IF(AND($D9&lt;&gt;"",$E9&lt;&gt;""),IF(AND($E9&gt;=G$6,$D9&lt;=G$6+2),"■",""),"")</f>
        <v/>
      </c>
      <c r="H9" s="869" t="str">
        <f>IF(AND($D9&lt;&gt;"",$E9&lt;&gt;""),IF(AND($E9&gt;=H$6,$D9&lt;=H$6+2),"■",""),"")</f>
        <v/>
      </c>
      <c r="I9" s="869" t="str">
        <f>IF(AND($D9&lt;&gt;"",$E9&lt;&gt;""),IF(AND($E9&gt;=I$6,$D9&lt;=I$6+2),"■",""),"")</f>
        <v>■</v>
      </c>
      <c r="J9" s="869" t="str">
        <f>IF(AND($D9&lt;&gt;"",$E9&lt;&gt;""),IF(AND($E9&gt;=J$6,$D9&lt;=J$6+2),"■",""),"")</f>
        <v>■</v>
      </c>
      <c r="K9" s="869" t="str">
        <f>IF(AND($D9&lt;&gt;"",$E9&lt;&gt;""),IF(AND($E9&gt;=K$6,$D9&lt;=K$6+2),"■",""),"")</f>
        <v>■</v>
      </c>
      <c r="L9" s="869" t="str">
        <f>IF(AND($D9&lt;&gt;"",$E9&lt;&gt;""),IF(AND($E9&gt;=L$6,$D9&lt;=L$6+2),"■",""),"")</f>
        <v/>
      </c>
      <c r="M9" s="869" t="str">
        <f>IF(AND($D9&lt;&gt;"",$E9&lt;&gt;""),IF(AND($E9&gt;=M$6,$D9&lt;=M$6+2),"■",""),"")</f>
        <v/>
      </c>
      <c r="N9" s="869" t="str">
        <f>IF(AND($D9&lt;&gt;"",$E9&lt;&gt;""),IF(AND($E9&gt;=N$6,$D9&lt;=N$6+2),"■",""),"")</f>
        <v/>
      </c>
      <c r="O9" s="869" t="str">
        <f>IF(AND($D9&lt;&gt;"",$E9&lt;&gt;""),IF(AND($E9&gt;=O$6,$D9&lt;=O$6+2),"■",""),"")</f>
        <v/>
      </c>
      <c r="P9" s="869" t="str">
        <f>IF(AND($D9&lt;&gt;"",$E9&lt;&gt;""),IF(AND($E9&gt;=P$6,$D9&lt;=P$6+2),"■",""),"")</f>
        <v/>
      </c>
      <c r="Q9" s="869" t="str">
        <f>IF(AND($D9&lt;&gt;"",$E9&lt;&gt;""),IF(AND($E9&gt;=Q$6,$D9&lt;=Q$6+2),"■",""),"")</f>
        <v/>
      </c>
      <c r="R9" s="869" t="str">
        <f>IF(AND($D9&lt;&gt;"",$E9&lt;&gt;""),IF(AND($E9&gt;=R$6,$D9&lt;=R$6+2),"■",""),"")</f>
        <v/>
      </c>
      <c r="S9" s="869" t="str">
        <f>IF(AND($D9&lt;&gt;"",$E9&lt;&gt;""),IF(AND($E9&gt;=S$6,$D9&lt;=S$6+2),"■",""),"")</f>
        <v/>
      </c>
      <c r="T9" s="869" t="str">
        <f>IF(AND($D9&lt;&gt;"",$E9&lt;&gt;""),IF(AND($E9&gt;=T$6,$D9&lt;=T$6+2),"■",""),"")</f>
        <v/>
      </c>
      <c r="U9" s="869" t="str">
        <f>IF(AND($D9&lt;&gt;"",$E9&lt;&gt;""),IF(AND($E9&gt;=U$6,$D9&lt;=U$6+2),"■",""),"")</f>
        <v/>
      </c>
      <c r="V9" s="869" t="str">
        <f>IF(AND($D9&lt;&gt;"",$E9&lt;&gt;""),IF(AND($E9&gt;=V$6,$D9&lt;=V$6+2),"■",""),"")</f>
        <v/>
      </c>
      <c r="W9" s="869" t="str">
        <f>IF(AND($D9&lt;&gt;"",$E9&lt;&gt;""),IF(AND($E9&gt;=W$6,$D9&lt;=W$6+2),"■",""),"")</f>
        <v/>
      </c>
      <c r="X9" s="869" t="str">
        <f>IF(AND($D9&lt;&gt;"",$E9&lt;&gt;""),IF(AND($E9&gt;=X$6,$D9&lt;=X$6+2),"■",""),"")</f>
        <v/>
      </c>
      <c r="Y9" s="869" t="str">
        <f>IF(AND($D9&lt;&gt;"",$E9&lt;&gt;""),IF(AND($E9&gt;=Y$6,$D9&lt;=Y$6+2),"■",""),"")</f>
        <v/>
      </c>
      <c r="Z9" s="869" t="str">
        <f>IF(AND($D9&lt;&gt;"",$E9&lt;&gt;""),IF(AND($E9&gt;=Z$6,$D9&lt;=Z$6+2),"■",""),"")</f>
        <v/>
      </c>
      <c r="AA9" s="869" t="str">
        <f>IF(AND($D9&lt;&gt;"",$E9&lt;&gt;""),IF(AND($E9&gt;=AA$6,$D9&lt;=AA$6+2),"■",""),"")</f>
        <v/>
      </c>
      <c r="AB9" s="869" t="str">
        <f>IF(AND($D9&lt;&gt;"",$E9&lt;&gt;""),IF(AND($E9&gt;=AB$6,$D9&lt;=AB$6+2),"■",""),"")</f>
        <v/>
      </c>
      <c r="AC9" s="869" t="str">
        <f>IF(AND($D9&lt;&gt;"",$E9&lt;&gt;""),IF(AND($E9&gt;=AC$6,$D9&lt;=AC$6+2),"■",""),"")</f>
        <v/>
      </c>
      <c r="AD9" s="869" t="str">
        <f>IF(AND($D9&lt;&gt;"",$E9&lt;&gt;""),IF(AND($E9&gt;=AD$6,$D9&lt;=AD$6+2),"■",""),"")</f>
        <v/>
      </c>
      <c r="AE9" s="869" t="str">
        <f>IF(AND($D9&lt;&gt;"",$E9&lt;&gt;""),IF(AND($E9&gt;=AE$6,$D9&lt;=AE$6+2),"■",""),"")</f>
        <v/>
      </c>
      <c r="AF9" s="869" t="str">
        <f>IF(AND($D9&lt;&gt;"",$E9&lt;&gt;""),IF(AND($E9&gt;=AF$6,$D9&lt;=AF$6+2),"■",""),"")</f>
        <v/>
      </c>
      <c r="AG9" s="869" t="str">
        <f>IF(AND($D9&lt;&gt;"",$E9&lt;&gt;""),IF(AND($E9&gt;=AG$6,$D9&lt;=AG$6+2),"■",""),"")</f>
        <v/>
      </c>
      <c r="AH9" s="898" t="str">
        <f>IF(AND($D9&lt;&gt;"",$E9&lt;&gt;""),IF(AND($E9&gt;=AH$6,$D9&lt;=AH$6+2),"■",""),"")</f>
        <v/>
      </c>
    </row>
    <row r="10" spans="1:34" ht="16" customHeight="1">
      <c r="A10" s="891">
        <f>IF(B10&lt;&gt;"",ROW()-6,"")</f>
        <v>4</v>
      </c>
      <c r="B10" s="920" t="s">
        <v>768</v>
      </c>
      <c r="C10" s="866" t="s">
        <v>1084</v>
      </c>
      <c r="D10" s="867">
        <v>46075</v>
      </c>
      <c r="E10" s="867">
        <v>46086</v>
      </c>
      <c r="F10" s="877">
        <f>IF(AND(D10&lt;&gt;"",E10&lt;&gt;""),E10-D10+1,"")</f>
        <v>12</v>
      </c>
      <c r="G10" s="870" t="str">
        <f>IF(AND($D10&lt;&gt;"",$E10&lt;&gt;""),IF(AND($E10&gt;=G$6,$D10&lt;=G$6+2),"■",""),"")</f>
        <v/>
      </c>
      <c r="H10" s="870" t="str">
        <f>IF(AND($D10&lt;&gt;"",$E10&lt;&gt;""),IF(AND($E10&gt;=H$6,$D10&lt;=H$6+2),"■",""),"")</f>
        <v/>
      </c>
      <c r="I10" s="870" t="str">
        <f>IF(AND($D10&lt;&gt;"",$E10&lt;&gt;""),IF(AND($E10&gt;=I$6,$D10&lt;=I$6+2),"■",""),"")</f>
        <v>■</v>
      </c>
      <c r="J10" s="870" t="str">
        <f>IF(AND($D10&lt;&gt;"",$E10&lt;&gt;""),IF(AND($E10&gt;=J$6,$D10&lt;=J$6+2),"■",""),"")</f>
        <v>■</v>
      </c>
      <c r="K10" s="870" t="str">
        <f>IF(AND($D10&lt;&gt;"",$E10&lt;&gt;""),IF(AND($E10&gt;=K$6,$D10&lt;=K$6+2),"■",""),"")</f>
        <v>■</v>
      </c>
      <c r="L10" s="870" t="str">
        <f>IF(AND($D10&lt;&gt;"",$E10&lt;&gt;""),IF(AND($E10&gt;=L$6,$D10&lt;=L$6+2),"■",""),"")</f>
        <v>■</v>
      </c>
      <c r="M10" s="870" t="str">
        <f>IF(AND($D10&lt;&gt;"",$E10&lt;&gt;""),IF(AND($E10&gt;=M$6,$D10&lt;=M$6+2),"■",""),"")</f>
        <v>■</v>
      </c>
      <c r="N10" s="870" t="str">
        <f>IF(AND($D10&lt;&gt;"",$E10&lt;&gt;""),IF(AND($E10&gt;=N$6,$D10&lt;=N$6+2),"■",""),"")</f>
        <v/>
      </c>
      <c r="O10" s="870" t="str">
        <f>IF(AND($D10&lt;&gt;"",$E10&lt;&gt;""),IF(AND($E10&gt;=O$6,$D10&lt;=O$6+2),"■",""),"")</f>
        <v/>
      </c>
      <c r="P10" s="870" t="str">
        <f>IF(AND($D10&lt;&gt;"",$E10&lt;&gt;""),IF(AND($E10&gt;=P$6,$D10&lt;=P$6+2),"■",""),"")</f>
        <v/>
      </c>
      <c r="Q10" s="870" t="str">
        <f>IF(AND($D10&lt;&gt;"",$E10&lt;&gt;""),IF(AND($E10&gt;=Q$6,$D10&lt;=Q$6+2),"■",""),"")</f>
        <v/>
      </c>
      <c r="R10" s="870" t="str">
        <f>IF(AND($D10&lt;&gt;"",$E10&lt;&gt;""),IF(AND($E10&gt;=R$6,$D10&lt;=R$6+2),"■",""),"")</f>
        <v/>
      </c>
      <c r="S10" s="870" t="str">
        <f>IF(AND($D10&lt;&gt;"",$E10&lt;&gt;""),IF(AND($E10&gt;=S$6,$D10&lt;=S$6+2),"■",""),"")</f>
        <v/>
      </c>
      <c r="T10" s="870" t="str">
        <f>IF(AND($D10&lt;&gt;"",$E10&lt;&gt;""),IF(AND($E10&gt;=T$6,$D10&lt;=T$6+2),"■",""),"")</f>
        <v/>
      </c>
      <c r="U10" s="870" t="str">
        <f>IF(AND($D10&lt;&gt;"",$E10&lt;&gt;""),IF(AND($E10&gt;=U$6,$D10&lt;=U$6+2),"■",""),"")</f>
        <v/>
      </c>
      <c r="V10" s="870" t="str">
        <f>IF(AND($D10&lt;&gt;"",$E10&lt;&gt;""),IF(AND($E10&gt;=V$6,$D10&lt;=V$6+2),"■",""),"")</f>
        <v/>
      </c>
      <c r="W10" s="870" t="str">
        <f>IF(AND($D10&lt;&gt;"",$E10&lt;&gt;""),IF(AND($E10&gt;=W$6,$D10&lt;=W$6+2),"■",""),"")</f>
        <v/>
      </c>
      <c r="X10" s="870" t="str">
        <f>IF(AND($D10&lt;&gt;"",$E10&lt;&gt;""),IF(AND($E10&gt;=X$6,$D10&lt;=X$6+2),"■",""),"")</f>
        <v/>
      </c>
      <c r="Y10" s="870" t="str">
        <f>IF(AND($D10&lt;&gt;"",$E10&lt;&gt;""),IF(AND($E10&gt;=Y$6,$D10&lt;=Y$6+2),"■",""),"")</f>
        <v/>
      </c>
      <c r="Z10" s="870" t="str">
        <f>IF(AND($D10&lt;&gt;"",$E10&lt;&gt;""),IF(AND($E10&gt;=Z$6,$D10&lt;=Z$6+2),"■",""),"")</f>
        <v/>
      </c>
      <c r="AA10" s="870" t="str">
        <f>IF(AND($D10&lt;&gt;"",$E10&lt;&gt;""),IF(AND($E10&gt;=AA$6,$D10&lt;=AA$6+2),"■",""),"")</f>
        <v/>
      </c>
      <c r="AB10" s="870" t="str">
        <f>IF(AND($D10&lt;&gt;"",$E10&lt;&gt;""),IF(AND($E10&gt;=AB$6,$D10&lt;=AB$6+2),"■",""),"")</f>
        <v/>
      </c>
      <c r="AC10" s="870" t="str">
        <f>IF(AND($D10&lt;&gt;"",$E10&lt;&gt;""),IF(AND($E10&gt;=AC$6,$D10&lt;=AC$6+2),"■",""),"")</f>
        <v/>
      </c>
      <c r="AD10" s="870" t="str">
        <f>IF(AND($D10&lt;&gt;"",$E10&lt;&gt;""),IF(AND($E10&gt;=AD$6,$D10&lt;=AD$6+2),"■",""),"")</f>
        <v/>
      </c>
      <c r="AE10" s="870" t="str">
        <f>IF(AND($D10&lt;&gt;"",$E10&lt;&gt;""),IF(AND($E10&gt;=AE$6,$D10&lt;=AE$6+2),"■",""),"")</f>
        <v/>
      </c>
      <c r="AF10" s="870" t="str">
        <f>IF(AND($D10&lt;&gt;"",$E10&lt;&gt;""),IF(AND($E10&gt;=AF$6,$D10&lt;=AF$6+2),"■",""),"")</f>
        <v/>
      </c>
      <c r="AG10" s="870" t="str">
        <f>IF(AND($D10&lt;&gt;"",$E10&lt;&gt;""),IF(AND($E10&gt;=AG$6,$D10&lt;=AG$6+2),"■",""),"")</f>
        <v/>
      </c>
      <c r="AH10" s="897" t="str">
        <f>IF(AND($D10&lt;&gt;"",$E10&lt;&gt;""),IF(AND($E10&gt;=AH$6,$D10&lt;=AH$6+2),"■",""),"")</f>
        <v/>
      </c>
    </row>
    <row r="11" spans="1:34" ht="16" customHeight="1">
      <c r="A11" s="892">
        <f>IF(B11&lt;&gt;"",ROW()-6,"")</f>
        <v>5</v>
      </c>
      <c r="B11" s="919" t="s">
        <v>1058</v>
      </c>
      <c r="C11" s="864" t="s">
        <v>1085</v>
      </c>
      <c r="D11" s="865">
        <v>46087</v>
      </c>
      <c r="E11" s="865">
        <v>46090</v>
      </c>
      <c r="F11" s="878">
        <f>IF(AND(D11&lt;&gt;"",E11&lt;&gt;""),E11-D11+1,"")</f>
        <v>4</v>
      </c>
      <c r="G11" s="869" t="str">
        <f>IF(AND($D11&lt;&gt;"",$E11&lt;&gt;""),IF(AND($E11&gt;=G$6,$D11&lt;=G$6+2),"■",""),"")</f>
        <v/>
      </c>
      <c r="H11" s="869" t="str">
        <f>IF(AND($D11&lt;&gt;"",$E11&lt;&gt;""),IF(AND($E11&gt;=H$6,$D11&lt;=H$6+2),"■",""),"")</f>
        <v/>
      </c>
      <c r="I11" s="869" t="str">
        <f>IF(AND($D11&lt;&gt;"",$E11&lt;&gt;""),IF(AND($E11&gt;=I$6,$D11&lt;=I$6+2),"■",""),"")</f>
        <v/>
      </c>
      <c r="J11" s="869" t="str">
        <f>IF(AND($D11&lt;&gt;"",$E11&lt;&gt;""),IF(AND($E11&gt;=J$6,$D11&lt;=J$6+2),"■",""),"")</f>
        <v/>
      </c>
      <c r="K11" s="869" t="str">
        <f>IF(AND($D11&lt;&gt;"",$E11&lt;&gt;""),IF(AND($E11&gt;=K$6,$D11&lt;=K$6+2),"■",""),"")</f>
        <v/>
      </c>
      <c r="L11" s="869" t="str">
        <f>IF(AND($D11&lt;&gt;"",$E11&lt;&gt;""),IF(AND($E11&gt;=L$6,$D11&lt;=L$6+2),"■",""),"")</f>
        <v/>
      </c>
      <c r="M11" s="869" t="str">
        <f>IF(AND($D11&lt;&gt;"",$E11&lt;&gt;""),IF(AND($E11&gt;=M$6,$D11&lt;=M$6+2),"■",""),"")</f>
        <v>■</v>
      </c>
      <c r="N11" s="869" t="str">
        <f>IF(AND($D11&lt;&gt;"",$E11&lt;&gt;""),IF(AND($E11&gt;=N$6,$D11&lt;=N$6+2),"■",""),"")</f>
        <v>■</v>
      </c>
      <c r="O11" s="869" t="str">
        <f>IF(AND($D11&lt;&gt;"",$E11&lt;&gt;""),IF(AND($E11&gt;=O$6,$D11&lt;=O$6+2),"■",""),"")</f>
        <v/>
      </c>
      <c r="P11" s="869" t="str">
        <f>IF(AND($D11&lt;&gt;"",$E11&lt;&gt;""),IF(AND($E11&gt;=P$6,$D11&lt;=P$6+2),"■",""),"")</f>
        <v/>
      </c>
      <c r="Q11" s="869" t="str">
        <f>IF(AND($D11&lt;&gt;"",$E11&lt;&gt;""),IF(AND($E11&gt;=Q$6,$D11&lt;=Q$6+2),"■",""),"")</f>
        <v/>
      </c>
      <c r="R11" s="869" t="str">
        <f>IF(AND($D11&lt;&gt;"",$E11&lt;&gt;""),IF(AND($E11&gt;=R$6,$D11&lt;=R$6+2),"■",""),"")</f>
        <v/>
      </c>
      <c r="S11" s="869" t="str">
        <f>IF(AND($D11&lt;&gt;"",$E11&lt;&gt;""),IF(AND($E11&gt;=S$6,$D11&lt;=S$6+2),"■",""),"")</f>
        <v/>
      </c>
      <c r="T11" s="869" t="str">
        <f>IF(AND($D11&lt;&gt;"",$E11&lt;&gt;""),IF(AND($E11&gt;=T$6,$D11&lt;=T$6+2),"■",""),"")</f>
        <v/>
      </c>
      <c r="U11" s="869" t="str">
        <f>IF(AND($D11&lt;&gt;"",$E11&lt;&gt;""),IF(AND($E11&gt;=U$6,$D11&lt;=U$6+2),"■",""),"")</f>
        <v/>
      </c>
      <c r="V11" s="869" t="str">
        <f>IF(AND($D11&lt;&gt;"",$E11&lt;&gt;""),IF(AND($E11&gt;=V$6,$D11&lt;=V$6+2),"■",""),"")</f>
        <v/>
      </c>
      <c r="W11" s="869" t="str">
        <f>IF(AND($D11&lt;&gt;"",$E11&lt;&gt;""),IF(AND($E11&gt;=W$6,$D11&lt;=W$6+2),"■",""),"")</f>
        <v/>
      </c>
      <c r="X11" s="869" t="str">
        <f>IF(AND($D11&lt;&gt;"",$E11&lt;&gt;""),IF(AND($E11&gt;=X$6,$D11&lt;=X$6+2),"■",""),"")</f>
        <v/>
      </c>
      <c r="Y11" s="869" t="str">
        <f>IF(AND($D11&lt;&gt;"",$E11&lt;&gt;""),IF(AND($E11&gt;=Y$6,$D11&lt;=Y$6+2),"■",""),"")</f>
        <v/>
      </c>
      <c r="Z11" s="869" t="str">
        <f>IF(AND($D11&lt;&gt;"",$E11&lt;&gt;""),IF(AND($E11&gt;=Z$6,$D11&lt;=Z$6+2),"■",""),"")</f>
        <v/>
      </c>
      <c r="AA11" s="869" t="str">
        <f>IF(AND($D11&lt;&gt;"",$E11&lt;&gt;""),IF(AND($E11&gt;=AA$6,$D11&lt;=AA$6+2),"■",""),"")</f>
        <v/>
      </c>
      <c r="AB11" s="869" t="str">
        <f>IF(AND($D11&lt;&gt;"",$E11&lt;&gt;""),IF(AND($E11&gt;=AB$6,$D11&lt;=AB$6+2),"■",""),"")</f>
        <v/>
      </c>
      <c r="AC11" s="869" t="str">
        <f>IF(AND($D11&lt;&gt;"",$E11&lt;&gt;""),IF(AND($E11&gt;=AC$6,$D11&lt;=AC$6+2),"■",""),"")</f>
        <v/>
      </c>
      <c r="AD11" s="869" t="str">
        <f>IF(AND($D11&lt;&gt;"",$E11&lt;&gt;""),IF(AND($E11&gt;=AD$6,$D11&lt;=AD$6+2),"■",""),"")</f>
        <v/>
      </c>
      <c r="AE11" s="869" t="str">
        <f>IF(AND($D11&lt;&gt;"",$E11&lt;&gt;""),IF(AND($E11&gt;=AE$6,$D11&lt;=AE$6+2),"■",""),"")</f>
        <v/>
      </c>
      <c r="AF11" s="869" t="str">
        <f>IF(AND($D11&lt;&gt;"",$E11&lt;&gt;""),IF(AND($E11&gt;=AF$6,$D11&lt;=AF$6+2),"■",""),"")</f>
        <v/>
      </c>
      <c r="AG11" s="869" t="str">
        <f>IF(AND($D11&lt;&gt;"",$E11&lt;&gt;""),IF(AND($E11&gt;=AG$6,$D11&lt;=AG$6+2),"■",""),"")</f>
        <v/>
      </c>
      <c r="AH11" s="898" t="str">
        <f>IF(AND($D11&lt;&gt;"",$E11&lt;&gt;""),IF(AND($E11&gt;=AH$6,$D11&lt;=AH$6+2),"■",""),"")</f>
        <v/>
      </c>
    </row>
    <row r="12" spans="1:34" ht="16" customHeight="1">
      <c r="A12" s="891">
        <f>IF(B12&lt;&gt;"",ROW()-6,"")</f>
        <v>6</v>
      </c>
      <c r="B12" s="920" t="s">
        <v>1081</v>
      </c>
      <c r="C12" s="866" t="s">
        <v>1086</v>
      </c>
      <c r="D12" s="867">
        <v>46091</v>
      </c>
      <c r="E12" s="867">
        <v>46101</v>
      </c>
      <c r="F12" s="877">
        <f>IF(AND(D12&lt;&gt;"",E12&lt;&gt;""),E12-D12+1,"")</f>
        <v>11</v>
      </c>
      <c r="G12" s="870" t="str">
        <f>IF(AND($D12&lt;&gt;"",$E12&lt;&gt;""),IF(AND($E12&gt;=G$6,$D12&lt;=G$6+2),"■",""),"")</f>
        <v/>
      </c>
      <c r="H12" s="870" t="str">
        <f>IF(AND($D12&lt;&gt;"",$E12&lt;&gt;""),IF(AND($E12&gt;=H$6,$D12&lt;=H$6+2),"■",""),"")</f>
        <v/>
      </c>
      <c r="I12" s="870" t="str">
        <f>IF(AND($D12&lt;&gt;"",$E12&lt;&gt;""),IF(AND($E12&gt;=I$6,$D12&lt;=I$6+2),"■",""),"")</f>
        <v/>
      </c>
      <c r="J12" s="870" t="str">
        <f>IF(AND($D12&lt;&gt;"",$E12&lt;&gt;""),IF(AND($E12&gt;=J$6,$D12&lt;=J$6+2),"■",""),"")</f>
        <v/>
      </c>
      <c r="K12" s="870" t="str">
        <f>IF(AND($D12&lt;&gt;"",$E12&lt;&gt;""),IF(AND($E12&gt;=K$6,$D12&lt;=K$6+2),"■",""),"")</f>
        <v/>
      </c>
      <c r="L12" s="870" t="str">
        <f>IF(AND($D12&lt;&gt;"",$E12&lt;&gt;""),IF(AND($E12&gt;=L$6,$D12&lt;=L$6+2),"■",""),"")</f>
        <v/>
      </c>
      <c r="M12" s="870" t="str">
        <f>IF(AND($D12&lt;&gt;"",$E12&lt;&gt;""),IF(AND($E12&gt;=M$6,$D12&lt;=M$6+2),"■",""),"")</f>
        <v/>
      </c>
      <c r="N12" s="870" t="str">
        <f>IF(AND($D12&lt;&gt;"",$E12&lt;&gt;""),IF(AND($E12&gt;=N$6,$D12&lt;=N$6+2),"■",""),"")</f>
        <v>■</v>
      </c>
      <c r="O12" s="870" t="str">
        <f>IF(AND($D12&lt;&gt;"",$E12&lt;&gt;""),IF(AND($E12&gt;=O$6,$D12&lt;=O$6+2),"■",""),"")</f>
        <v>■</v>
      </c>
      <c r="P12" s="870" t="str">
        <f>IF(AND($D12&lt;&gt;"",$E12&lt;&gt;""),IF(AND($E12&gt;=P$6,$D12&lt;=P$6+2),"■",""),"")</f>
        <v>■</v>
      </c>
      <c r="Q12" s="870" t="str">
        <f>IF(AND($D12&lt;&gt;"",$E12&lt;&gt;""),IF(AND($E12&gt;=Q$6,$D12&lt;=Q$6+2),"■",""),"")</f>
        <v>■</v>
      </c>
      <c r="R12" s="870" t="str">
        <f>IF(AND($D12&lt;&gt;"",$E12&lt;&gt;""),IF(AND($E12&gt;=R$6,$D12&lt;=R$6+2),"■",""),"")</f>
        <v>■</v>
      </c>
      <c r="S12" s="870" t="str">
        <f>IF(AND($D12&lt;&gt;"",$E12&lt;&gt;""),IF(AND($E12&gt;=S$6,$D12&lt;=S$6+2),"■",""),"")</f>
        <v/>
      </c>
      <c r="T12" s="870" t="str">
        <f>IF(AND($D12&lt;&gt;"",$E12&lt;&gt;""),IF(AND($E12&gt;=T$6,$D12&lt;=T$6+2),"■",""),"")</f>
        <v/>
      </c>
      <c r="U12" s="870" t="str">
        <f>IF(AND($D12&lt;&gt;"",$E12&lt;&gt;""),IF(AND($E12&gt;=U$6,$D12&lt;=U$6+2),"■",""),"")</f>
        <v/>
      </c>
      <c r="V12" s="870" t="str">
        <f>IF(AND($D12&lt;&gt;"",$E12&lt;&gt;""),IF(AND($E12&gt;=V$6,$D12&lt;=V$6+2),"■",""),"")</f>
        <v/>
      </c>
      <c r="W12" s="870" t="str">
        <f>IF(AND($D12&lt;&gt;"",$E12&lt;&gt;""),IF(AND($E12&gt;=W$6,$D12&lt;=W$6+2),"■",""),"")</f>
        <v/>
      </c>
      <c r="X12" s="870" t="str">
        <f>IF(AND($D12&lt;&gt;"",$E12&lt;&gt;""),IF(AND($E12&gt;=X$6,$D12&lt;=X$6+2),"■",""),"")</f>
        <v/>
      </c>
      <c r="Y12" s="870" t="str">
        <f>IF(AND($D12&lt;&gt;"",$E12&lt;&gt;""),IF(AND($E12&gt;=Y$6,$D12&lt;=Y$6+2),"■",""),"")</f>
        <v/>
      </c>
      <c r="Z12" s="870" t="str">
        <f>IF(AND($D12&lt;&gt;"",$E12&lt;&gt;""),IF(AND($E12&gt;=Z$6,$D12&lt;=Z$6+2),"■",""),"")</f>
        <v/>
      </c>
      <c r="AA12" s="870" t="str">
        <f>IF(AND($D12&lt;&gt;"",$E12&lt;&gt;""),IF(AND($E12&gt;=AA$6,$D12&lt;=AA$6+2),"■",""),"")</f>
        <v/>
      </c>
      <c r="AB12" s="870" t="str">
        <f>IF(AND($D12&lt;&gt;"",$E12&lt;&gt;""),IF(AND($E12&gt;=AB$6,$D12&lt;=AB$6+2),"■",""),"")</f>
        <v/>
      </c>
      <c r="AC12" s="870" t="str">
        <f>IF(AND($D12&lt;&gt;"",$E12&lt;&gt;""),IF(AND($E12&gt;=AC$6,$D12&lt;=AC$6+2),"■",""),"")</f>
        <v/>
      </c>
      <c r="AD12" s="870" t="str">
        <f>IF(AND($D12&lt;&gt;"",$E12&lt;&gt;""),IF(AND($E12&gt;=AD$6,$D12&lt;=AD$6+2),"■",""),"")</f>
        <v/>
      </c>
      <c r="AE12" s="870" t="str">
        <f>IF(AND($D12&lt;&gt;"",$E12&lt;&gt;""),IF(AND($E12&gt;=AE$6,$D12&lt;=AE$6+2),"■",""),"")</f>
        <v/>
      </c>
      <c r="AF12" s="870" t="str">
        <f>IF(AND($D12&lt;&gt;"",$E12&lt;&gt;""),IF(AND($E12&gt;=AF$6,$D12&lt;=AF$6+2),"■",""),"")</f>
        <v/>
      </c>
      <c r="AG12" s="870" t="str">
        <f>IF(AND($D12&lt;&gt;"",$E12&lt;&gt;""),IF(AND($E12&gt;=AG$6,$D12&lt;=AG$6+2),"■",""),"")</f>
        <v/>
      </c>
      <c r="AH12" s="897" t="str">
        <f>IF(AND($D12&lt;&gt;"",$E12&lt;&gt;""),IF(AND($E12&gt;=AH$6,$D12&lt;=AH$6+2),"■",""),"")</f>
        <v/>
      </c>
    </row>
    <row r="13" spans="1:34" ht="16" customHeight="1">
      <c r="A13" s="892">
        <f>IF(B13&lt;&gt;"",ROW()-6,"")</f>
        <v>7</v>
      </c>
      <c r="B13" s="919" t="s">
        <v>1079</v>
      </c>
      <c r="C13" s="864" t="s">
        <v>1059</v>
      </c>
      <c r="D13" s="865">
        <v>46102</v>
      </c>
      <c r="E13" s="865">
        <v>46112</v>
      </c>
      <c r="F13" s="878">
        <f>IF(AND(D13&lt;&gt;"",E13&lt;&gt;""),E13-D13+1,"")</f>
        <v>11</v>
      </c>
      <c r="G13" s="869" t="str">
        <f>IF(AND($D13&lt;&gt;"",$E13&lt;&gt;""),IF(AND($E13&gt;=G$6,$D13&lt;=G$6+2),"■",""),"")</f>
        <v/>
      </c>
      <c r="H13" s="869" t="str">
        <f>IF(AND($D13&lt;&gt;"",$E13&lt;&gt;""),IF(AND($E13&gt;=H$6,$D13&lt;=H$6+2),"■",""),"")</f>
        <v/>
      </c>
      <c r="I13" s="869" t="str">
        <f>IF(AND($D13&lt;&gt;"",$E13&lt;&gt;""),IF(AND($E13&gt;=I$6,$D13&lt;=I$6+2),"■",""),"")</f>
        <v/>
      </c>
      <c r="J13" s="869" t="str">
        <f>IF(AND($D13&lt;&gt;"",$E13&lt;&gt;""),IF(AND($E13&gt;=J$6,$D13&lt;=J$6+2),"■",""),"")</f>
        <v/>
      </c>
      <c r="K13" s="869" t="str">
        <f>IF(AND($D13&lt;&gt;"",$E13&lt;&gt;""),IF(AND($E13&gt;=K$6,$D13&lt;=K$6+2),"■",""),"")</f>
        <v/>
      </c>
      <c r="L13" s="869" t="str">
        <f>IF(AND($D13&lt;&gt;"",$E13&lt;&gt;""),IF(AND($E13&gt;=L$6,$D13&lt;=L$6+2),"■",""),"")</f>
        <v/>
      </c>
      <c r="M13" s="869" t="str">
        <f>IF(AND($D13&lt;&gt;"",$E13&lt;&gt;""),IF(AND($E13&gt;=M$6,$D13&lt;=M$6+2),"■",""),"")</f>
        <v/>
      </c>
      <c r="N13" s="869" t="str">
        <f>IF(AND($D13&lt;&gt;"",$E13&lt;&gt;""),IF(AND($E13&gt;=N$6,$D13&lt;=N$6+2),"■",""),"")</f>
        <v/>
      </c>
      <c r="O13" s="869" t="str">
        <f>IF(AND($D13&lt;&gt;"",$E13&lt;&gt;""),IF(AND($E13&gt;=O$6,$D13&lt;=O$6+2),"■",""),"")</f>
        <v/>
      </c>
      <c r="P13" s="869" t="str">
        <f>IF(AND($D13&lt;&gt;"",$E13&lt;&gt;""),IF(AND($E13&gt;=P$6,$D13&lt;=P$6+2),"■",""),"")</f>
        <v/>
      </c>
      <c r="Q13" s="869" t="str">
        <f>IF(AND($D13&lt;&gt;"",$E13&lt;&gt;""),IF(AND($E13&gt;=Q$6,$D13&lt;=Q$6+2),"■",""),"")</f>
        <v/>
      </c>
      <c r="R13" s="869" t="str">
        <f>IF(AND($D13&lt;&gt;"",$E13&lt;&gt;""),IF(AND($E13&gt;=R$6,$D13&lt;=R$6+2),"■",""),"")</f>
        <v>■</v>
      </c>
      <c r="S13" s="869" t="str">
        <f>IF(AND($D13&lt;&gt;"",$E13&lt;&gt;""),IF(AND($E13&gt;=S$6,$D13&lt;=S$6+2),"■",""),"")</f>
        <v>■</v>
      </c>
      <c r="T13" s="869" t="str">
        <f>IF(AND($D13&lt;&gt;"",$E13&lt;&gt;""),IF(AND($E13&gt;=T$6,$D13&lt;=T$6+2),"■",""),"")</f>
        <v>■</v>
      </c>
      <c r="U13" s="869" t="str">
        <f>IF(AND($D13&lt;&gt;"",$E13&lt;&gt;""),IF(AND($E13&gt;=U$6,$D13&lt;=U$6+2),"■",""),"")</f>
        <v>■</v>
      </c>
      <c r="V13" s="869" t="str">
        <f>IF(AND($D13&lt;&gt;"",$E13&lt;&gt;""),IF(AND($E13&gt;=V$6,$D13&lt;=V$6+2),"■",""),"")</f>
        <v/>
      </c>
      <c r="W13" s="869" t="str">
        <f>IF(AND($D13&lt;&gt;"",$E13&lt;&gt;""),IF(AND($E13&gt;=W$6,$D13&lt;=W$6+2),"■",""),"")</f>
        <v/>
      </c>
      <c r="X13" s="869" t="str">
        <f>IF(AND($D13&lt;&gt;"",$E13&lt;&gt;""),IF(AND($E13&gt;=X$6,$D13&lt;=X$6+2),"■",""),"")</f>
        <v/>
      </c>
      <c r="Y13" s="869" t="str">
        <f>IF(AND($D13&lt;&gt;"",$E13&lt;&gt;""),IF(AND($E13&gt;=Y$6,$D13&lt;=Y$6+2),"■",""),"")</f>
        <v/>
      </c>
      <c r="Z13" s="869" t="str">
        <f>IF(AND($D13&lt;&gt;"",$E13&lt;&gt;""),IF(AND($E13&gt;=Z$6,$D13&lt;=Z$6+2),"■",""),"")</f>
        <v/>
      </c>
      <c r="AA13" s="869" t="str">
        <f>IF(AND($D13&lt;&gt;"",$E13&lt;&gt;""),IF(AND($E13&gt;=AA$6,$D13&lt;=AA$6+2),"■",""),"")</f>
        <v/>
      </c>
      <c r="AB13" s="869" t="str">
        <f>IF(AND($D13&lt;&gt;"",$E13&lt;&gt;""),IF(AND($E13&gt;=AB$6,$D13&lt;=AB$6+2),"■",""),"")</f>
        <v/>
      </c>
      <c r="AC13" s="869" t="str">
        <f>IF(AND($D13&lt;&gt;"",$E13&lt;&gt;""),IF(AND($E13&gt;=AC$6,$D13&lt;=AC$6+2),"■",""),"")</f>
        <v/>
      </c>
      <c r="AD13" s="869" t="str">
        <f>IF(AND($D13&lt;&gt;"",$E13&lt;&gt;""),IF(AND($E13&gt;=AD$6,$D13&lt;=AD$6+2),"■",""),"")</f>
        <v/>
      </c>
      <c r="AE13" s="869" t="str">
        <f>IF(AND($D13&lt;&gt;"",$E13&lt;&gt;""),IF(AND($E13&gt;=AE$6,$D13&lt;=AE$6+2),"■",""),"")</f>
        <v/>
      </c>
      <c r="AF13" s="869" t="str">
        <f>IF(AND($D13&lt;&gt;"",$E13&lt;&gt;""),IF(AND($E13&gt;=AF$6,$D13&lt;=AF$6+2),"■",""),"")</f>
        <v/>
      </c>
      <c r="AG13" s="869" t="str">
        <f>IF(AND($D13&lt;&gt;"",$E13&lt;&gt;""),IF(AND($E13&gt;=AG$6,$D13&lt;=AG$6+2),"■",""),"")</f>
        <v/>
      </c>
      <c r="AH13" s="898" t="str">
        <f>IF(AND($D13&lt;&gt;"",$E13&lt;&gt;""),IF(AND($E13&gt;=AH$6,$D13&lt;=AH$6+2),"■",""),"")</f>
        <v/>
      </c>
    </row>
    <row r="14" spans="1:34" ht="16" customHeight="1">
      <c r="A14" s="891">
        <f>IF(B14&lt;&gt;"",ROW()-6,"")</f>
        <v>8</v>
      </c>
      <c r="B14" s="920" t="s">
        <v>1077</v>
      </c>
      <c r="C14" s="866" t="s">
        <v>1087</v>
      </c>
      <c r="D14" s="867">
        <v>46113</v>
      </c>
      <c r="E14" s="867">
        <v>46117</v>
      </c>
      <c r="F14" s="877">
        <f>IF(AND(D14&lt;&gt;"",E14&lt;&gt;""),E14-D14+1,"")</f>
        <v>5</v>
      </c>
      <c r="G14" s="870" t="str">
        <f>IF(AND($D14&lt;&gt;"",$E14&lt;&gt;""),IF(AND($E14&gt;=G$6,$D14&lt;=G$6+2),"■",""),"")</f>
        <v/>
      </c>
      <c r="H14" s="870" t="str">
        <f>IF(AND($D14&lt;&gt;"",$E14&lt;&gt;""),IF(AND($E14&gt;=H$6,$D14&lt;=H$6+2),"■",""),"")</f>
        <v/>
      </c>
      <c r="I14" s="870" t="str">
        <f>IF(AND($D14&lt;&gt;"",$E14&lt;&gt;""),IF(AND($E14&gt;=I$6,$D14&lt;=I$6+2),"■",""),"")</f>
        <v/>
      </c>
      <c r="J14" s="870" t="str">
        <f>IF(AND($D14&lt;&gt;"",$E14&lt;&gt;""),IF(AND($E14&gt;=J$6,$D14&lt;=J$6+2),"■",""),"")</f>
        <v/>
      </c>
      <c r="K14" s="870" t="str">
        <f>IF(AND($D14&lt;&gt;"",$E14&lt;&gt;""),IF(AND($E14&gt;=K$6,$D14&lt;=K$6+2),"■",""),"")</f>
        <v/>
      </c>
      <c r="L14" s="870" t="str">
        <f>IF(AND($D14&lt;&gt;"",$E14&lt;&gt;""),IF(AND($E14&gt;=L$6,$D14&lt;=L$6+2),"■",""),"")</f>
        <v/>
      </c>
      <c r="M14" s="870" t="str">
        <f>IF(AND($D14&lt;&gt;"",$E14&lt;&gt;""),IF(AND($E14&gt;=M$6,$D14&lt;=M$6+2),"■",""),"")</f>
        <v/>
      </c>
      <c r="N14" s="870" t="str">
        <f>IF(AND($D14&lt;&gt;"",$E14&lt;&gt;""),IF(AND($E14&gt;=N$6,$D14&lt;=N$6+2),"■",""),"")</f>
        <v/>
      </c>
      <c r="O14" s="870" t="str">
        <f>IF(AND($D14&lt;&gt;"",$E14&lt;&gt;""),IF(AND($E14&gt;=O$6,$D14&lt;=O$6+2),"■",""),"")</f>
        <v/>
      </c>
      <c r="P14" s="870" t="str">
        <f>IF(AND($D14&lt;&gt;"",$E14&lt;&gt;""),IF(AND($E14&gt;=P$6,$D14&lt;=P$6+2),"■",""),"")</f>
        <v/>
      </c>
      <c r="Q14" s="870" t="str">
        <f>IF(AND($D14&lt;&gt;"",$E14&lt;&gt;""),IF(AND($E14&gt;=Q$6,$D14&lt;=Q$6+2),"■",""),"")</f>
        <v/>
      </c>
      <c r="R14" s="870" t="str">
        <f>IF(AND($D14&lt;&gt;"",$E14&lt;&gt;""),IF(AND($E14&gt;=R$6,$D14&lt;=R$6+2),"■",""),"")</f>
        <v/>
      </c>
      <c r="S14" s="870" t="str">
        <f>IF(AND($D14&lt;&gt;"",$E14&lt;&gt;""),IF(AND($E14&gt;=S$6,$D14&lt;=S$6+2),"■",""),"")</f>
        <v/>
      </c>
      <c r="T14" s="870" t="str">
        <f>IF(AND($D14&lt;&gt;"",$E14&lt;&gt;""),IF(AND($E14&gt;=T$6,$D14&lt;=T$6+2),"■",""),"")</f>
        <v/>
      </c>
      <c r="U14" s="870" t="str">
        <f>IF(AND($D14&lt;&gt;"",$E14&lt;&gt;""),IF(AND($E14&gt;=U$6,$D14&lt;=U$6+2),"■",""),"")</f>
        <v/>
      </c>
      <c r="V14" s="870" t="str">
        <f>IF(AND($D14&lt;&gt;"",$E14&lt;&gt;""),IF(AND($E14&gt;=V$6,$D14&lt;=V$6+2),"■",""),"")</f>
        <v>■</v>
      </c>
      <c r="W14" s="870" t="str">
        <f>IF(AND($D14&lt;&gt;"",$E14&lt;&gt;""),IF(AND($E14&gt;=W$6,$D14&lt;=W$6+2),"■",""),"")</f>
        <v>■</v>
      </c>
      <c r="X14" s="870" t="str">
        <f>IF(AND($D14&lt;&gt;"",$E14&lt;&gt;""),IF(AND($E14&gt;=X$6,$D14&lt;=X$6+2),"■",""),"")</f>
        <v/>
      </c>
      <c r="Y14" s="870" t="str">
        <f>IF(AND($D14&lt;&gt;"",$E14&lt;&gt;""),IF(AND($E14&gt;=Y$6,$D14&lt;=Y$6+2),"■",""),"")</f>
        <v/>
      </c>
      <c r="Z14" s="870" t="str">
        <f>IF(AND($D14&lt;&gt;"",$E14&lt;&gt;""),IF(AND($E14&gt;=Z$6,$D14&lt;=Z$6+2),"■",""),"")</f>
        <v/>
      </c>
      <c r="AA14" s="870" t="str">
        <f>IF(AND($D14&lt;&gt;"",$E14&lt;&gt;""),IF(AND($E14&gt;=AA$6,$D14&lt;=AA$6+2),"■",""),"")</f>
        <v/>
      </c>
      <c r="AB14" s="870" t="str">
        <f>IF(AND($D14&lt;&gt;"",$E14&lt;&gt;""),IF(AND($E14&gt;=AB$6,$D14&lt;=AB$6+2),"■",""),"")</f>
        <v/>
      </c>
      <c r="AC14" s="870" t="str">
        <f>IF(AND($D14&lt;&gt;"",$E14&lt;&gt;""),IF(AND($E14&gt;=AC$6,$D14&lt;=AC$6+2),"■",""),"")</f>
        <v/>
      </c>
      <c r="AD14" s="870" t="str">
        <f>IF(AND($D14&lt;&gt;"",$E14&lt;&gt;""),IF(AND($E14&gt;=AD$6,$D14&lt;=AD$6+2),"■",""),"")</f>
        <v/>
      </c>
      <c r="AE14" s="870" t="str">
        <f>IF(AND($D14&lt;&gt;"",$E14&lt;&gt;""),IF(AND($E14&gt;=AE$6,$D14&lt;=AE$6+2),"■",""),"")</f>
        <v/>
      </c>
      <c r="AF14" s="870" t="str">
        <f>IF(AND($D14&lt;&gt;"",$E14&lt;&gt;""),IF(AND($E14&gt;=AF$6,$D14&lt;=AF$6+2),"■",""),"")</f>
        <v/>
      </c>
      <c r="AG14" s="870" t="str">
        <f>IF(AND($D14&lt;&gt;"",$E14&lt;&gt;""),IF(AND($E14&gt;=AG$6,$D14&lt;=AG$6+2),"■",""),"")</f>
        <v/>
      </c>
      <c r="AH14" s="897" t="str">
        <f>IF(AND($D14&lt;&gt;"",$E14&lt;&gt;""),IF(AND($E14&gt;=AH$6,$D14&lt;=AH$6+2),"■",""),"")</f>
        <v/>
      </c>
    </row>
    <row r="15" spans="1:34" ht="16" customHeight="1">
      <c r="A15" s="922" t="s">
        <v>1054</v>
      </c>
      <c r="B15" s="919" t="s">
        <v>1045</v>
      </c>
      <c r="C15" s="864"/>
      <c r="D15" s="865"/>
      <c r="E15" s="865"/>
      <c r="F15" s="878" t="str">
        <f>IF(AND(D15&lt;&gt;"",E15&lt;&gt;""),E15-D15+1,"")</f>
        <v/>
      </c>
      <c r="G15" s="869" t="str">
        <f>IF(AND($D15&lt;&gt;"",$E15&lt;&gt;""),IF(AND($E15&gt;=G$6,$D15&lt;=G$6+2),"■",""),"")</f>
        <v/>
      </c>
      <c r="H15" s="869" t="str">
        <f>IF(AND($D15&lt;&gt;"",$E15&lt;&gt;""),IF(AND($E15&gt;=H$6,$D15&lt;=H$6+2),"■",""),"")</f>
        <v/>
      </c>
      <c r="I15" s="869" t="str">
        <f>IF(AND($D15&lt;&gt;"",$E15&lt;&gt;""),IF(AND($E15&gt;=I$6,$D15&lt;=I$6+2),"■",""),"")</f>
        <v/>
      </c>
      <c r="J15" s="869" t="str">
        <f>IF(AND($D15&lt;&gt;"",$E15&lt;&gt;""),IF(AND($E15&gt;=J$6,$D15&lt;=J$6+2),"■",""),"")</f>
        <v/>
      </c>
      <c r="K15" s="869" t="str">
        <f>IF(AND($D15&lt;&gt;"",$E15&lt;&gt;""),IF(AND($E15&gt;=K$6,$D15&lt;=K$6+2),"■",""),"")</f>
        <v/>
      </c>
      <c r="L15" s="869" t="str">
        <f>IF(AND($D15&lt;&gt;"",$E15&lt;&gt;""),IF(AND($E15&gt;=L$6,$D15&lt;=L$6+2),"■",""),"")</f>
        <v/>
      </c>
      <c r="M15" s="869" t="str">
        <f>IF(AND($D15&lt;&gt;"",$E15&lt;&gt;""),IF(AND($E15&gt;=M$6,$D15&lt;=M$6+2),"■",""),"")</f>
        <v/>
      </c>
      <c r="N15" s="869" t="str">
        <f>IF(AND($D15&lt;&gt;"",$E15&lt;&gt;""),IF(AND($E15&gt;=N$6,$D15&lt;=N$6+2),"■",""),"")</f>
        <v/>
      </c>
      <c r="O15" s="869" t="str">
        <f>IF(AND($D15&lt;&gt;"",$E15&lt;&gt;""),IF(AND($E15&gt;=O$6,$D15&lt;=O$6+2),"■",""),"")</f>
        <v/>
      </c>
      <c r="P15" s="869" t="str">
        <f>IF(AND($D15&lt;&gt;"",$E15&lt;&gt;""),IF(AND($E15&gt;=P$6,$D15&lt;=P$6+2),"■",""),"")</f>
        <v/>
      </c>
      <c r="Q15" s="869" t="str">
        <f>IF(AND($D15&lt;&gt;"",$E15&lt;&gt;""),IF(AND($E15&gt;=Q$6,$D15&lt;=Q$6+2),"■",""),"")</f>
        <v/>
      </c>
      <c r="R15" s="869" t="str">
        <f>IF(AND($D15&lt;&gt;"",$E15&lt;&gt;""),IF(AND($E15&gt;=R$6,$D15&lt;=R$6+2),"■",""),"")</f>
        <v/>
      </c>
      <c r="S15" s="869" t="str">
        <f>IF(AND($D15&lt;&gt;"",$E15&lt;&gt;""),IF(AND($E15&gt;=S$6,$D15&lt;=S$6+2),"■",""),"")</f>
        <v/>
      </c>
      <c r="T15" s="869" t="str">
        <f>IF(AND($D15&lt;&gt;"",$E15&lt;&gt;""),IF(AND($E15&gt;=T$6,$D15&lt;=T$6+2),"■",""),"")</f>
        <v/>
      </c>
      <c r="U15" s="869" t="str">
        <f>IF(AND($D15&lt;&gt;"",$E15&lt;&gt;""),IF(AND($E15&gt;=U$6,$D15&lt;=U$6+2),"■",""),"")</f>
        <v/>
      </c>
      <c r="V15" s="869" t="str">
        <f>IF(AND($D15&lt;&gt;"",$E15&lt;&gt;""),IF(AND($E15&gt;=V$6,$D15&lt;=V$6+2),"■",""),"")</f>
        <v/>
      </c>
      <c r="W15" s="869" t="str">
        <f>IF(AND($D15&lt;&gt;"",$E15&lt;&gt;""),IF(AND($E15&gt;=W$6,$D15&lt;=W$6+2),"■",""),"")</f>
        <v/>
      </c>
      <c r="X15" s="869" t="str">
        <f>IF(AND($D15&lt;&gt;"",$E15&lt;&gt;""),IF(AND($E15&gt;=X$6,$D15&lt;=X$6+2),"■",""),"")</f>
        <v/>
      </c>
      <c r="Y15" s="869" t="str">
        <f>IF(AND($D15&lt;&gt;"",$E15&lt;&gt;""),IF(AND($E15&gt;=Y$6,$D15&lt;=Y$6+2),"■",""),"")</f>
        <v/>
      </c>
      <c r="Z15" s="869" t="str">
        <f>IF(AND($D15&lt;&gt;"",$E15&lt;&gt;""),IF(AND($E15&gt;=Z$6,$D15&lt;=Z$6+2),"■",""),"")</f>
        <v/>
      </c>
      <c r="AA15" s="869" t="str">
        <f>IF(AND($D15&lt;&gt;"",$E15&lt;&gt;""),IF(AND($E15&gt;=AA$6,$D15&lt;=AA$6+2),"■",""),"")</f>
        <v/>
      </c>
      <c r="AB15" s="869" t="str">
        <f>IF(AND($D15&lt;&gt;"",$E15&lt;&gt;""),IF(AND($E15&gt;=AB$6,$D15&lt;=AB$6+2),"■",""),"")</f>
        <v/>
      </c>
      <c r="AC15" s="869" t="str">
        <f>IF(AND($D15&lt;&gt;"",$E15&lt;&gt;""),IF(AND($E15&gt;=AC$6,$D15&lt;=AC$6+2),"■",""),"")</f>
        <v/>
      </c>
      <c r="AD15" s="869" t="str">
        <f>IF(AND($D15&lt;&gt;"",$E15&lt;&gt;""),IF(AND($E15&gt;=AD$6,$D15&lt;=AD$6+2),"■",""),"")</f>
        <v/>
      </c>
      <c r="AE15" s="869" t="str">
        <f>IF(AND($D15&lt;&gt;"",$E15&lt;&gt;""),IF(AND($E15&gt;=AE$6,$D15&lt;=AE$6+2),"■",""),"")</f>
        <v/>
      </c>
      <c r="AF15" s="869" t="str">
        <f>IF(AND($D15&lt;&gt;"",$E15&lt;&gt;""),IF(AND($E15&gt;=AF$6,$D15&lt;=AF$6+2),"■",""),"")</f>
        <v/>
      </c>
      <c r="AG15" s="869" t="str">
        <f>IF(AND($D15&lt;&gt;"",$E15&lt;&gt;""),IF(AND($E15&gt;=AG$6,$D15&lt;=AG$6+2),"■",""),"")</f>
        <v/>
      </c>
      <c r="AH15" s="898" t="str">
        <f>IF(AND($D15&lt;&gt;"",$E15&lt;&gt;""),IF(AND($E15&gt;=AH$6,$D15&lt;=AH$6+2),"■",""),"")</f>
        <v/>
      </c>
    </row>
    <row r="16" spans="1:34" ht="16" customHeight="1">
      <c r="A16" s="923" t="s">
        <v>1055</v>
      </c>
      <c r="B16" s="920" t="s">
        <v>1046</v>
      </c>
      <c r="C16" s="866"/>
      <c r="D16" s="867"/>
      <c r="E16" s="867"/>
      <c r="F16" s="877" t="str">
        <f>IF(AND(D16&lt;&gt;"",E16&lt;&gt;""),E16-D16+1,"")</f>
        <v/>
      </c>
      <c r="G16" s="870" t="str">
        <f>IF(AND($D16&lt;&gt;"",$E16&lt;&gt;""),IF(AND($E16&gt;=G$6,$D16&lt;=G$6+2),"■",""),"")</f>
        <v/>
      </c>
      <c r="H16" s="870" t="str">
        <f>IF(AND($D16&lt;&gt;"",$E16&lt;&gt;""),IF(AND($E16&gt;=H$6,$D16&lt;=H$6+2),"■",""),"")</f>
        <v/>
      </c>
      <c r="I16" s="870" t="str">
        <f>IF(AND($D16&lt;&gt;"",$E16&lt;&gt;""),IF(AND($E16&gt;=I$6,$D16&lt;=I$6+2),"■",""),"")</f>
        <v/>
      </c>
      <c r="J16" s="870" t="str">
        <f>IF(AND($D16&lt;&gt;"",$E16&lt;&gt;""),IF(AND($E16&gt;=J$6,$D16&lt;=J$6+2),"■",""),"")</f>
        <v/>
      </c>
      <c r="K16" s="870" t="str">
        <f>IF(AND($D16&lt;&gt;"",$E16&lt;&gt;""),IF(AND($E16&gt;=K$6,$D16&lt;=K$6+2),"■",""),"")</f>
        <v/>
      </c>
      <c r="L16" s="870" t="str">
        <f>IF(AND($D16&lt;&gt;"",$E16&lt;&gt;""),IF(AND($E16&gt;=L$6,$D16&lt;=L$6+2),"■",""),"")</f>
        <v/>
      </c>
      <c r="M16" s="870" t="str">
        <f>IF(AND($D16&lt;&gt;"",$E16&lt;&gt;""),IF(AND($E16&gt;=M$6,$D16&lt;=M$6+2),"■",""),"")</f>
        <v/>
      </c>
      <c r="N16" s="870" t="str">
        <f>IF(AND($D16&lt;&gt;"",$E16&lt;&gt;""),IF(AND($E16&gt;=N$6,$D16&lt;=N$6+2),"■",""),"")</f>
        <v/>
      </c>
      <c r="O16" s="870" t="str">
        <f>IF(AND($D16&lt;&gt;"",$E16&lt;&gt;""),IF(AND($E16&gt;=O$6,$D16&lt;=O$6+2),"■",""),"")</f>
        <v/>
      </c>
      <c r="P16" s="870" t="str">
        <f>IF(AND($D16&lt;&gt;"",$E16&lt;&gt;""),IF(AND($E16&gt;=P$6,$D16&lt;=P$6+2),"■",""),"")</f>
        <v/>
      </c>
      <c r="Q16" s="870" t="str">
        <f>IF(AND($D16&lt;&gt;"",$E16&lt;&gt;""),IF(AND($E16&gt;=Q$6,$D16&lt;=Q$6+2),"■",""),"")</f>
        <v/>
      </c>
      <c r="R16" s="870" t="str">
        <f>IF(AND($D16&lt;&gt;"",$E16&lt;&gt;""),IF(AND($E16&gt;=R$6,$D16&lt;=R$6+2),"■",""),"")</f>
        <v/>
      </c>
      <c r="S16" s="870" t="str">
        <f>IF(AND($D16&lt;&gt;"",$E16&lt;&gt;""),IF(AND($E16&gt;=S$6,$D16&lt;=S$6+2),"■",""),"")</f>
        <v/>
      </c>
      <c r="T16" s="870" t="str">
        <f>IF(AND($D16&lt;&gt;"",$E16&lt;&gt;""),IF(AND($E16&gt;=T$6,$D16&lt;=T$6+2),"■",""),"")</f>
        <v/>
      </c>
      <c r="U16" s="870" t="str">
        <f>IF(AND($D16&lt;&gt;"",$E16&lt;&gt;""),IF(AND($E16&gt;=U$6,$D16&lt;=U$6+2),"■",""),"")</f>
        <v/>
      </c>
      <c r="V16" s="870" t="str">
        <f>IF(AND($D16&lt;&gt;"",$E16&lt;&gt;""),IF(AND($E16&gt;=V$6,$D16&lt;=V$6+2),"■",""),"")</f>
        <v/>
      </c>
      <c r="W16" s="870" t="str">
        <f>IF(AND($D16&lt;&gt;"",$E16&lt;&gt;""),IF(AND($E16&gt;=W$6,$D16&lt;=W$6+2),"■",""),"")</f>
        <v/>
      </c>
      <c r="X16" s="870" t="str">
        <f>IF(AND($D16&lt;&gt;"",$E16&lt;&gt;""),IF(AND($E16&gt;=X$6,$D16&lt;=X$6+2),"■",""),"")</f>
        <v/>
      </c>
      <c r="Y16" s="870" t="str">
        <f>IF(AND($D16&lt;&gt;"",$E16&lt;&gt;""),IF(AND($E16&gt;=Y$6,$D16&lt;=Y$6+2),"■",""),"")</f>
        <v/>
      </c>
      <c r="Z16" s="870" t="str">
        <f>IF(AND($D16&lt;&gt;"",$E16&lt;&gt;""),IF(AND($E16&gt;=Z$6,$D16&lt;=Z$6+2),"■",""),"")</f>
        <v/>
      </c>
      <c r="AA16" s="870" t="str">
        <f>IF(AND($D16&lt;&gt;"",$E16&lt;&gt;""),IF(AND($E16&gt;=AA$6,$D16&lt;=AA$6+2),"■",""),"")</f>
        <v/>
      </c>
      <c r="AB16" s="870" t="str">
        <f>IF(AND($D16&lt;&gt;"",$E16&lt;&gt;""),IF(AND($E16&gt;=AB$6,$D16&lt;=AB$6+2),"■",""),"")</f>
        <v/>
      </c>
      <c r="AC16" s="870" t="str">
        <f>IF(AND($D16&lt;&gt;"",$E16&lt;&gt;""),IF(AND($E16&gt;=AC$6,$D16&lt;=AC$6+2),"■",""),"")</f>
        <v/>
      </c>
      <c r="AD16" s="870" t="str">
        <f>IF(AND($D16&lt;&gt;"",$E16&lt;&gt;""),IF(AND($E16&gt;=AD$6,$D16&lt;=AD$6+2),"■",""),"")</f>
        <v/>
      </c>
      <c r="AE16" s="870" t="str">
        <f>IF(AND($D16&lt;&gt;"",$E16&lt;&gt;""),IF(AND($E16&gt;=AE$6,$D16&lt;=AE$6+2),"■",""),"")</f>
        <v/>
      </c>
      <c r="AF16" s="870" t="str">
        <f>IF(AND($D16&lt;&gt;"",$E16&lt;&gt;""),IF(AND($E16&gt;=AF$6,$D16&lt;=AF$6+2),"■",""),"")</f>
        <v/>
      </c>
      <c r="AG16" s="870" t="str">
        <f>IF(AND($D16&lt;&gt;"",$E16&lt;&gt;""),IF(AND($E16&gt;=AG$6,$D16&lt;=AG$6+2),"■",""),"")</f>
        <v/>
      </c>
      <c r="AH16" s="897" t="str">
        <f>IF(AND($D16&lt;&gt;"",$E16&lt;&gt;""),IF(AND($E16&gt;=AH$6,$D16&lt;=AH$6+2),"■",""),"")</f>
        <v/>
      </c>
    </row>
    <row r="17" spans="1:34" ht="16" customHeight="1">
      <c r="A17" s="892">
        <f>IF(B17&lt;&gt;"",ROW()-6,"")</f>
        <v>11</v>
      </c>
      <c r="B17" s="919" t="s">
        <v>430</v>
      </c>
      <c r="C17" s="864"/>
      <c r="D17" s="865"/>
      <c r="E17" s="865"/>
      <c r="F17" s="878" t="str">
        <f>IF(AND(D17&lt;&gt;"",E17&lt;&gt;""),E17-D17+1,"")</f>
        <v/>
      </c>
      <c r="G17" s="869" t="str">
        <f>IF(AND($D17&lt;&gt;"",$E17&lt;&gt;""),IF(AND($E17&gt;=G$6,$D17&lt;=G$6+2),"■",""),"")</f>
        <v/>
      </c>
      <c r="H17" s="869" t="str">
        <f>IF(AND($D17&lt;&gt;"",$E17&lt;&gt;""),IF(AND($E17&gt;=H$6,$D17&lt;=H$6+2),"■",""),"")</f>
        <v/>
      </c>
      <c r="I17" s="869" t="str">
        <f>IF(AND($D17&lt;&gt;"",$E17&lt;&gt;""),IF(AND($E17&gt;=I$6,$D17&lt;=I$6+2),"■",""),"")</f>
        <v/>
      </c>
      <c r="J17" s="869" t="str">
        <f>IF(AND($D17&lt;&gt;"",$E17&lt;&gt;""),IF(AND($E17&gt;=J$6,$D17&lt;=J$6+2),"■",""),"")</f>
        <v/>
      </c>
      <c r="K17" s="869" t="str">
        <f>IF(AND($D17&lt;&gt;"",$E17&lt;&gt;""),IF(AND($E17&gt;=K$6,$D17&lt;=K$6+2),"■",""),"")</f>
        <v/>
      </c>
      <c r="L17" s="869" t="str">
        <f>IF(AND($D17&lt;&gt;"",$E17&lt;&gt;""),IF(AND($E17&gt;=L$6,$D17&lt;=L$6+2),"■",""),"")</f>
        <v/>
      </c>
      <c r="M17" s="869" t="str">
        <f>IF(AND($D17&lt;&gt;"",$E17&lt;&gt;""),IF(AND($E17&gt;=M$6,$D17&lt;=M$6+2),"■",""),"")</f>
        <v/>
      </c>
      <c r="N17" s="869" t="str">
        <f>IF(AND($D17&lt;&gt;"",$E17&lt;&gt;""),IF(AND($E17&gt;=N$6,$D17&lt;=N$6+2),"■",""),"")</f>
        <v/>
      </c>
      <c r="O17" s="869" t="str">
        <f>IF(AND($D17&lt;&gt;"",$E17&lt;&gt;""),IF(AND($E17&gt;=O$6,$D17&lt;=O$6+2),"■",""),"")</f>
        <v/>
      </c>
      <c r="P17" s="869" t="str">
        <f>IF(AND($D17&lt;&gt;"",$E17&lt;&gt;""),IF(AND($E17&gt;=P$6,$D17&lt;=P$6+2),"■",""),"")</f>
        <v/>
      </c>
      <c r="Q17" s="869" t="str">
        <f>IF(AND($D17&lt;&gt;"",$E17&lt;&gt;""),IF(AND($E17&gt;=Q$6,$D17&lt;=Q$6+2),"■",""),"")</f>
        <v/>
      </c>
      <c r="R17" s="869" t="str">
        <f>IF(AND($D17&lt;&gt;"",$E17&lt;&gt;""),IF(AND($E17&gt;=R$6,$D17&lt;=R$6+2),"■",""),"")</f>
        <v/>
      </c>
      <c r="S17" s="869" t="str">
        <f>IF(AND($D17&lt;&gt;"",$E17&lt;&gt;""),IF(AND($E17&gt;=S$6,$D17&lt;=S$6+2),"■",""),"")</f>
        <v/>
      </c>
      <c r="T17" s="869" t="str">
        <f>IF(AND($D17&lt;&gt;"",$E17&lt;&gt;""),IF(AND($E17&gt;=T$6,$D17&lt;=T$6+2),"■",""),"")</f>
        <v/>
      </c>
      <c r="U17" s="869" t="str">
        <f>IF(AND($D17&lt;&gt;"",$E17&lt;&gt;""),IF(AND($E17&gt;=U$6,$D17&lt;=U$6+2),"■",""),"")</f>
        <v/>
      </c>
      <c r="V17" s="869" t="str">
        <f>IF(AND($D17&lt;&gt;"",$E17&lt;&gt;""),IF(AND($E17&gt;=V$6,$D17&lt;=V$6+2),"■",""),"")</f>
        <v/>
      </c>
      <c r="W17" s="869" t="str">
        <f>IF(AND($D17&lt;&gt;"",$E17&lt;&gt;""),IF(AND($E17&gt;=W$6,$D17&lt;=W$6+2),"■",""),"")</f>
        <v/>
      </c>
      <c r="X17" s="869" t="str">
        <f>IF(AND($D17&lt;&gt;"",$E17&lt;&gt;""),IF(AND($E17&gt;=X$6,$D17&lt;=X$6+2),"■",""),"")</f>
        <v/>
      </c>
      <c r="Y17" s="869" t="str">
        <f>IF(AND($D17&lt;&gt;"",$E17&lt;&gt;""),IF(AND($E17&gt;=Y$6,$D17&lt;=Y$6+2),"■",""),"")</f>
        <v/>
      </c>
      <c r="Z17" s="869" t="str">
        <f>IF(AND($D17&lt;&gt;"",$E17&lt;&gt;""),IF(AND($E17&gt;=Z$6,$D17&lt;=Z$6+2),"■",""),"")</f>
        <v/>
      </c>
      <c r="AA17" s="869" t="str">
        <f>IF(AND($D17&lt;&gt;"",$E17&lt;&gt;""),IF(AND($E17&gt;=AA$6,$D17&lt;=AA$6+2),"■",""),"")</f>
        <v/>
      </c>
      <c r="AB17" s="869" t="str">
        <f>IF(AND($D17&lt;&gt;"",$E17&lt;&gt;""),IF(AND($E17&gt;=AB$6,$D17&lt;=AB$6+2),"■",""),"")</f>
        <v/>
      </c>
      <c r="AC17" s="869" t="str">
        <f>IF(AND($D17&lt;&gt;"",$E17&lt;&gt;""),IF(AND($E17&gt;=AC$6,$D17&lt;=AC$6+2),"■",""),"")</f>
        <v/>
      </c>
      <c r="AD17" s="869" t="str">
        <f>IF(AND($D17&lt;&gt;"",$E17&lt;&gt;""),IF(AND($E17&gt;=AD$6,$D17&lt;=AD$6+2),"■",""),"")</f>
        <v/>
      </c>
      <c r="AE17" s="869" t="str">
        <f>IF(AND($D17&lt;&gt;"",$E17&lt;&gt;""),IF(AND($E17&gt;=AE$6,$D17&lt;=AE$6+2),"■",""),"")</f>
        <v/>
      </c>
      <c r="AF17" s="869" t="str">
        <f>IF(AND($D17&lt;&gt;"",$E17&lt;&gt;""),IF(AND($E17&gt;=AF$6,$D17&lt;=AF$6+2),"■",""),"")</f>
        <v/>
      </c>
      <c r="AG17" s="869" t="str">
        <f>IF(AND($D17&lt;&gt;"",$E17&lt;&gt;""),IF(AND($E17&gt;=AG$6,$D17&lt;=AG$6+2),"■",""),"")</f>
        <v/>
      </c>
      <c r="AH17" s="898" t="str">
        <f>IF(AND($D17&lt;&gt;"",$E17&lt;&gt;""),IF(AND($E17&gt;=AH$6,$D17&lt;=AH$6+2),"■",""),"")</f>
        <v/>
      </c>
    </row>
    <row r="18" spans="1:34" ht="16" customHeight="1">
      <c r="A18" s="891">
        <f>IF(B18&lt;&gt;"",ROW()-6,"")</f>
        <v>12</v>
      </c>
      <c r="B18" s="920" t="s">
        <v>1047</v>
      </c>
      <c r="C18" s="866"/>
      <c r="D18" s="867"/>
      <c r="E18" s="867"/>
      <c r="F18" s="877" t="str">
        <f>IF(AND(D18&lt;&gt;"",E18&lt;&gt;""),E18-D18+1,"")</f>
        <v/>
      </c>
      <c r="G18" s="870" t="str">
        <f>IF(AND($D18&lt;&gt;"",$E18&lt;&gt;""),IF(AND($E18&gt;=G$6,$D18&lt;=G$6+2),"■",""),"")</f>
        <v/>
      </c>
      <c r="H18" s="870" t="str">
        <f>IF(AND($D18&lt;&gt;"",$E18&lt;&gt;""),IF(AND($E18&gt;=H$6,$D18&lt;=H$6+2),"■",""),"")</f>
        <v/>
      </c>
      <c r="I18" s="870" t="str">
        <f>IF(AND($D18&lt;&gt;"",$E18&lt;&gt;""),IF(AND($E18&gt;=I$6,$D18&lt;=I$6+2),"■",""),"")</f>
        <v/>
      </c>
      <c r="J18" s="870" t="str">
        <f>IF(AND($D18&lt;&gt;"",$E18&lt;&gt;""),IF(AND($E18&gt;=J$6,$D18&lt;=J$6+2),"■",""),"")</f>
        <v/>
      </c>
      <c r="K18" s="870" t="str">
        <f>IF(AND($D18&lt;&gt;"",$E18&lt;&gt;""),IF(AND($E18&gt;=K$6,$D18&lt;=K$6+2),"■",""),"")</f>
        <v/>
      </c>
      <c r="L18" s="870" t="str">
        <f>IF(AND($D18&lt;&gt;"",$E18&lt;&gt;""),IF(AND($E18&gt;=L$6,$D18&lt;=L$6+2),"■",""),"")</f>
        <v/>
      </c>
      <c r="M18" s="870" t="str">
        <f>IF(AND($D18&lt;&gt;"",$E18&lt;&gt;""),IF(AND($E18&gt;=M$6,$D18&lt;=M$6+2),"■",""),"")</f>
        <v/>
      </c>
      <c r="N18" s="870" t="str">
        <f>IF(AND($D18&lt;&gt;"",$E18&lt;&gt;""),IF(AND($E18&gt;=N$6,$D18&lt;=N$6+2),"■",""),"")</f>
        <v/>
      </c>
      <c r="O18" s="870" t="str">
        <f>IF(AND($D18&lt;&gt;"",$E18&lt;&gt;""),IF(AND($E18&gt;=O$6,$D18&lt;=O$6+2),"■",""),"")</f>
        <v/>
      </c>
      <c r="P18" s="870" t="str">
        <f>IF(AND($D18&lt;&gt;"",$E18&lt;&gt;""),IF(AND($E18&gt;=P$6,$D18&lt;=P$6+2),"■",""),"")</f>
        <v/>
      </c>
      <c r="Q18" s="870" t="str">
        <f>IF(AND($D18&lt;&gt;"",$E18&lt;&gt;""),IF(AND($E18&gt;=Q$6,$D18&lt;=Q$6+2),"■",""),"")</f>
        <v/>
      </c>
      <c r="R18" s="870" t="str">
        <f>IF(AND($D18&lt;&gt;"",$E18&lt;&gt;""),IF(AND($E18&gt;=R$6,$D18&lt;=R$6+2),"■",""),"")</f>
        <v/>
      </c>
      <c r="S18" s="870" t="str">
        <f>IF(AND($D18&lt;&gt;"",$E18&lt;&gt;""),IF(AND($E18&gt;=S$6,$D18&lt;=S$6+2),"■",""),"")</f>
        <v/>
      </c>
      <c r="T18" s="870" t="str">
        <f>IF(AND($D18&lt;&gt;"",$E18&lt;&gt;""),IF(AND($E18&gt;=T$6,$D18&lt;=T$6+2),"■",""),"")</f>
        <v/>
      </c>
      <c r="U18" s="870" t="str">
        <f>IF(AND($D18&lt;&gt;"",$E18&lt;&gt;""),IF(AND($E18&gt;=U$6,$D18&lt;=U$6+2),"■",""),"")</f>
        <v/>
      </c>
      <c r="V18" s="870" t="str">
        <f>IF(AND($D18&lt;&gt;"",$E18&lt;&gt;""),IF(AND($E18&gt;=V$6,$D18&lt;=V$6+2),"■",""),"")</f>
        <v/>
      </c>
      <c r="W18" s="870" t="str">
        <f>IF(AND($D18&lt;&gt;"",$E18&lt;&gt;""),IF(AND($E18&gt;=W$6,$D18&lt;=W$6+2),"■",""),"")</f>
        <v/>
      </c>
      <c r="X18" s="870" t="str">
        <f>IF(AND($D18&lt;&gt;"",$E18&lt;&gt;""),IF(AND($E18&gt;=X$6,$D18&lt;=X$6+2),"■",""),"")</f>
        <v/>
      </c>
      <c r="Y18" s="870" t="str">
        <f>IF(AND($D18&lt;&gt;"",$E18&lt;&gt;""),IF(AND($E18&gt;=Y$6,$D18&lt;=Y$6+2),"■",""),"")</f>
        <v/>
      </c>
      <c r="Z18" s="870" t="str">
        <f>IF(AND($D18&lt;&gt;"",$E18&lt;&gt;""),IF(AND($E18&gt;=Z$6,$D18&lt;=Z$6+2),"■",""),"")</f>
        <v/>
      </c>
      <c r="AA18" s="870" t="str">
        <f>IF(AND($D18&lt;&gt;"",$E18&lt;&gt;""),IF(AND($E18&gt;=AA$6,$D18&lt;=AA$6+2),"■",""),"")</f>
        <v/>
      </c>
      <c r="AB18" s="870" t="str">
        <f>IF(AND($D18&lt;&gt;"",$E18&lt;&gt;""),IF(AND($E18&gt;=AB$6,$D18&lt;=AB$6+2),"■",""),"")</f>
        <v/>
      </c>
      <c r="AC18" s="870" t="str">
        <f>IF(AND($D18&lt;&gt;"",$E18&lt;&gt;""),IF(AND($E18&gt;=AC$6,$D18&lt;=AC$6+2),"■",""),"")</f>
        <v/>
      </c>
      <c r="AD18" s="870" t="str">
        <f>IF(AND($D18&lt;&gt;"",$E18&lt;&gt;""),IF(AND($E18&gt;=AD$6,$D18&lt;=AD$6+2),"■",""),"")</f>
        <v/>
      </c>
      <c r="AE18" s="870" t="str">
        <f>IF(AND($D18&lt;&gt;"",$E18&lt;&gt;""),IF(AND($E18&gt;=AE$6,$D18&lt;=AE$6+2),"■",""),"")</f>
        <v/>
      </c>
      <c r="AF18" s="870" t="str">
        <f>IF(AND($D18&lt;&gt;"",$E18&lt;&gt;""),IF(AND($E18&gt;=AF$6,$D18&lt;=AF$6+2),"■",""),"")</f>
        <v/>
      </c>
      <c r="AG18" s="870" t="str">
        <f>IF(AND($D18&lt;&gt;"",$E18&lt;&gt;""),IF(AND($E18&gt;=AG$6,$D18&lt;=AG$6+2),"■",""),"")</f>
        <v/>
      </c>
      <c r="AH18" s="897" t="str">
        <f>IF(AND($D18&lt;&gt;"",$E18&lt;&gt;""),IF(AND($E18&gt;=AH$6,$D18&lt;=AH$6+2),"■",""),"")</f>
        <v/>
      </c>
    </row>
    <row r="19" spans="1:34" ht="16" customHeight="1">
      <c r="A19" s="892">
        <f>IF(B19&lt;&gt;"",ROW()-6,"")</f>
        <v>13</v>
      </c>
      <c r="B19" s="919" t="s">
        <v>1048</v>
      </c>
      <c r="C19" s="864"/>
      <c r="D19" s="865"/>
      <c r="E19" s="865"/>
      <c r="F19" s="878" t="str">
        <f>IF(AND(D19&lt;&gt;"",E19&lt;&gt;""),E19-D19+1,"")</f>
        <v/>
      </c>
      <c r="G19" s="869" t="str">
        <f>IF(AND($D19&lt;&gt;"",$E19&lt;&gt;""),IF(AND($E19&gt;=G$6,$D19&lt;=G$6+2),"■",""),"")</f>
        <v/>
      </c>
      <c r="H19" s="869" t="str">
        <f>IF(AND($D19&lt;&gt;"",$E19&lt;&gt;""),IF(AND($E19&gt;=H$6,$D19&lt;=H$6+2),"■",""),"")</f>
        <v/>
      </c>
      <c r="I19" s="869" t="str">
        <f>IF(AND($D19&lt;&gt;"",$E19&lt;&gt;""),IF(AND($E19&gt;=I$6,$D19&lt;=I$6+2),"■",""),"")</f>
        <v/>
      </c>
      <c r="J19" s="869" t="str">
        <f>IF(AND($D19&lt;&gt;"",$E19&lt;&gt;""),IF(AND($E19&gt;=J$6,$D19&lt;=J$6+2),"■",""),"")</f>
        <v/>
      </c>
      <c r="K19" s="869" t="str">
        <f>IF(AND($D19&lt;&gt;"",$E19&lt;&gt;""),IF(AND($E19&gt;=K$6,$D19&lt;=K$6+2),"■",""),"")</f>
        <v/>
      </c>
      <c r="L19" s="869" t="str">
        <f>IF(AND($D19&lt;&gt;"",$E19&lt;&gt;""),IF(AND($E19&gt;=L$6,$D19&lt;=L$6+2),"■",""),"")</f>
        <v/>
      </c>
      <c r="M19" s="869" t="str">
        <f>IF(AND($D19&lt;&gt;"",$E19&lt;&gt;""),IF(AND($E19&gt;=M$6,$D19&lt;=M$6+2),"■",""),"")</f>
        <v/>
      </c>
      <c r="N19" s="869" t="str">
        <f>IF(AND($D19&lt;&gt;"",$E19&lt;&gt;""),IF(AND($E19&gt;=N$6,$D19&lt;=N$6+2),"■",""),"")</f>
        <v/>
      </c>
      <c r="O19" s="869" t="str">
        <f>IF(AND($D19&lt;&gt;"",$E19&lt;&gt;""),IF(AND($E19&gt;=O$6,$D19&lt;=O$6+2),"■",""),"")</f>
        <v/>
      </c>
      <c r="P19" s="869" t="str">
        <f>IF(AND($D19&lt;&gt;"",$E19&lt;&gt;""),IF(AND($E19&gt;=P$6,$D19&lt;=P$6+2),"■",""),"")</f>
        <v/>
      </c>
      <c r="Q19" s="869" t="str">
        <f>IF(AND($D19&lt;&gt;"",$E19&lt;&gt;""),IF(AND($E19&gt;=Q$6,$D19&lt;=Q$6+2),"■",""),"")</f>
        <v/>
      </c>
      <c r="R19" s="869" t="str">
        <f>IF(AND($D19&lt;&gt;"",$E19&lt;&gt;""),IF(AND($E19&gt;=R$6,$D19&lt;=R$6+2),"■",""),"")</f>
        <v/>
      </c>
      <c r="S19" s="869" t="str">
        <f>IF(AND($D19&lt;&gt;"",$E19&lt;&gt;""),IF(AND($E19&gt;=S$6,$D19&lt;=S$6+2),"■",""),"")</f>
        <v/>
      </c>
      <c r="T19" s="869" t="str">
        <f>IF(AND($D19&lt;&gt;"",$E19&lt;&gt;""),IF(AND($E19&gt;=T$6,$D19&lt;=T$6+2),"■",""),"")</f>
        <v/>
      </c>
      <c r="U19" s="869" t="str">
        <f>IF(AND($D19&lt;&gt;"",$E19&lt;&gt;""),IF(AND($E19&gt;=U$6,$D19&lt;=U$6+2),"■",""),"")</f>
        <v/>
      </c>
      <c r="V19" s="869" t="str">
        <f>IF(AND($D19&lt;&gt;"",$E19&lt;&gt;""),IF(AND($E19&gt;=V$6,$D19&lt;=V$6+2),"■",""),"")</f>
        <v/>
      </c>
      <c r="W19" s="869" t="str">
        <f>IF(AND($D19&lt;&gt;"",$E19&lt;&gt;""),IF(AND($E19&gt;=W$6,$D19&lt;=W$6+2),"■",""),"")</f>
        <v/>
      </c>
      <c r="X19" s="869" t="str">
        <f>IF(AND($D19&lt;&gt;"",$E19&lt;&gt;""),IF(AND($E19&gt;=X$6,$D19&lt;=X$6+2),"■",""),"")</f>
        <v/>
      </c>
      <c r="Y19" s="869" t="str">
        <f>IF(AND($D19&lt;&gt;"",$E19&lt;&gt;""),IF(AND($E19&gt;=Y$6,$D19&lt;=Y$6+2),"■",""),"")</f>
        <v/>
      </c>
      <c r="Z19" s="869" t="str">
        <f>IF(AND($D19&lt;&gt;"",$E19&lt;&gt;""),IF(AND($E19&gt;=Z$6,$D19&lt;=Z$6+2),"■",""),"")</f>
        <v/>
      </c>
      <c r="AA19" s="869" t="str">
        <f>IF(AND($D19&lt;&gt;"",$E19&lt;&gt;""),IF(AND($E19&gt;=AA$6,$D19&lt;=AA$6+2),"■",""),"")</f>
        <v/>
      </c>
      <c r="AB19" s="869" t="str">
        <f>IF(AND($D19&lt;&gt;"",$E19&lt;&gt;""),IF(AND($E19&gt;=AB$6,$D19&lt;=AB$6+2),"■",""),"")</f>
        <v/>
      </c>
      <c r="AC19" s="869" t="str">
        <f>IF(AND($D19&lt;&gt;"",$E19&lt;&gt;""),IF(AND($E19&gt;=AC$6,$D19&lt;=AC$6+2),"■",""),"")</f>
        <v/>
      </c>
      <c r="AD19" s="869" t="str">
        <f>IF(AND($D19&lt;&gt;"",$E19&lt;&gt;""),IF(AND($E19&gt;=AD$6,$D19&lt;=AD$6+2),"■",""),"")</f>
        <v/>
      </c>
      <c r="AE19" s="869" t="str">
        <f>IF(AND($D19&lt;&gt;"",$E19&lt;&gt;""),IF(AND($E19&gt;=AE$6,$D19&lt;=AE$6+2),"■",""),"")</f>
        <v/>
      </c>
      <c r="AF19" s="869" t="str">
        <f>IF(AND($D19&lt;&gt;"",$E19&lt;&gt;""),IF(AND($E19&gt;=AF$6,$D19&lt;=AF$6+2),"■",""),"")</f>
        <v/>
      </c>
      <c r="AG19" s="869" t="str">
        <f>IF(AND($D19&lt;&gt;"",$E19&lt;&gt;""),IF(AND($E19&gt;=AG$6,$D19&lt;=AG$6+2),"■",""),"")</f>
        <v/>
      </c>
      <c r="AH19" s="898" t="str">
        <f>IF(AND($D19&lt;&gt;"",$E19&lt;&gt;""),IF(AND($E19&gt;=AH$6,$D19&lt;=AH$6+2),"■",""),"")</f>
        <v/>
      </c>
    </row>
    <row r="20" spans="1:34" ht="16" customHeight="1">
      <c r="A20" s="891">
        <f>IF(B20&lt;&gt;"",ROW()-6,"")</f>
        <v>14</v>
      </c>
      <c r="B20" s="920" t="s">
        <v>1049</v>
      </c>
      <c r="C20" s="866"/>
      <c r="D20" s="867"/>
      <c r="E20" s="867"/>
      <c r="F20" s="877" t="str">
        <f>IF(AND(D20&lt;&gt;"",E20&lt;&gt;""),E20-D20+1,"")</f>
        <v/>
      </c>
      <c r="G20" s="870" t="str">
        <f>IF(AND($D20&lt;&gt;"",$E20&lt;&gt;""),IF(AND($E20&gt;=G$6,$D20&lt;=G$6+2),"■",""),"")</f>
        <v/>
      </c>
      <c r="H20" s="870" t="str">
        <f>IF(AND($D20&lt;&gt;"",$E20&lt;&gt;""),IF(AND($E20&gt;=H$6,$D20&lt;=H$6+2),"■",""),"")</f>
        <v/>
      </c>
      <c r="I20" s="870" t="str">
        <f>IF(AND($D20&lt;&gt;"",$E20&lt;&gt;""),IF(AND($E20&gt;=I$6,$D20&lt;=I$6+2),"■",""),"")</f>
        <v/>
      </c>
      <c r="J20" s="870" t="str">
        <f>IF(AND($D20&lt;&gt;"",$E20&lt;&gt;""),IF(AND($E20&gt;=J$6,$D20&lt;=J$6+2),"■",""),"")</f>
        <v/>
      </c>
      <c r="K20" s="870" t="str">
        <f>IF(AND($D20&lt;&gt;"",$E20&lt;&gt;""),IF(AND($E20&gt;=K$6,$D20&lt;=K$6+2),"■",""),"")</f>
        <v/>
      </c>
      <c r="L20" s="870" t="str">
        <f>IF(AND($D20&lt;&gt;"",$E20&lt;&gt;""),IF(AND($E20&gt;=L$6,$D20&lt;=L$6+2),"■",""),"")</f>
        <v/>
      </c>
      <c r="M20" s="870" t="str">
        <f>IF(AND($D20&lt;&gt;"",$E20&lt;&gt;""),IF(AND($E20&gt;=M$6,$D20&lt;=M$6+2),"■",""),"")</f>
        <v/>
      </c>
      <c r="N20" s="870" t="str">
        <f>IF(AND($D20&lt;&gt;"",$E20&lt;&gt;""),IF(AND($E20&gt;=N$6,$D20&lt;=N$6+2),"■",""),"")</f>
        <v/>
      </c>
      <c r="O20" s="870" t="str">
        <f>IF(AND($D20&lt;&gt;"",$E20&lt;&gt;""),IF(AND($E20&gt;=O$6,$D20&lt;=O$6+2),"■",""),"")</f>
        <v/>
      </c>
      <c r="P20" s="870" t="str">
        <f>IF(AND($D20&lt;&gt;"",$E20&lt;&gt;""),IF(AND($E20&gt;=P$6,$D20&lt;=P$6+2),"■",""),"")</f>
        <v/>
      </c>
      <c r="Q20" s="870" t="str">
        <f>IF(AND($D20&lt;&gt;"",$E20&lt;&gt;""),IF(AND($E20&gt;=Q$6,$D20&lt;=Q$6+2),"■",""),"")</f>
        <v/>
      </c>
      <c r="R20" s="870" t="str">
        <f>IF(AND($D20&lt;&gt;"",$E20&lt;&gt;""),IF(AND($E20&gt;=R$6,$D20&lt;=R$6+2),"■",""),"")</f>
        <v/>
      </c>
      <c r="S20" s="870" t="str">
        <f>IF(AND($D20&lt;&gt;"",$E20&lt;&gt;""),IF(AND($E20&gt;=S$6,$D20&lt;=S$6+2),"■",""),"")</f>
        <v/>
      </c>
      <c r="T20" s="870" t="str">
        <f>IF(AND($D20&lt;&gt;"",$E20&lt;&gt;""),IF(AND($E20&gt;=T$6,$D20&lt;=T$6+2),"■",""),"")</f>
        <v/>
      </c>
      <c r="U20" s="870" t="str">
        <f>IF(AND($D20&lt;&gt;"",$E20&lt;&gt;""),IF(AND($E20&gt;=U$6,$D20&lt;=U$6+2),"■",""),"")</f>
        <v/>
      </c>
      <c r="V20" s="870" t="str">
        <f>IF(AND($D20&lt;&gt;"",$E20&lt;&gt;""),IF(AND($E20&gt;=V$6,$D20&lt;=V$6+2),"■",""),"")</f>
        <v/>
      </c>
      <c r="W20" s="870" t="str">
        <f>IF(AND($D20&lt;&gt;"",$E20&lt;&gt;""),IF(AND($E20&gt;=W$6,$D20&lt;=W$6+2),"■",""),"")</f>
        <v/>
      </c>
      <c r="X20" s="870" t="str">
        <f>IF(AND($D20&lt;&gt;"",$E20&lt;&gt;""),IF(AND($E20&gt;=X$6,$D20&lt;=X$6+2),"■",""),"")</f>
        <v/>
      </c>
      <c r="Y20" s="870" t="str">
        <f>IF(AND($D20&lt;&gt;"",$E20&lt;&gt;""),IF(AND($E20&gt;=Y$6,$D20&lt;=Y$6+2),"■",""),"")</f>
        <v/>
      </c>
      <c r="Z20" s="870" t="str">
        <f>IF(AND($D20&lt;&gt;"",$E20&lt;&gt;""),IF(AND($E20&gt;=Z$6,$D20&lt;=Z$6+2),"■",""),"")</f>
        <v/>
      </c>
      <c r="AA20" s="870" t="str">
        <f>IF(AND($D20&lt;&gt;"",$E20&lt;&gt;""),IF(AND($E20&gt;=AA$6,$D20&lt;=AA$6+2),"■",""),"")</f>
        <v/>
      </c>
      <c r="AB20" s="870" t="str">
        <f>IF(AND($D20&lt;&gt;"",$E20&lt;&gt;""),IF(AND($E20&gt;=AB$6,$D20&lt;=AB$6+2),"■",""),"")</f>
        <v/>
      </c>
      <c r="AC20" s="870" t="str">
        <f>IF(AND($D20&lt;&gt;"",$E20&lt;&gt;""),IF(AND($E20&gt;=AC$6,$D20&lt;=AC$6+2),"■",""),"")</f>
        <v/>
      </c>
      <c r="AD20" s="870" t="str">
        <f>IF(AND($D20&lt;&gt;"",$E20&lt;&gt;""),IF(AND($E20&gt;=AD$6,$D20&lt;=AD$6+2),"■",""),"")</f>
        <v/>
      </c>
      <c r="AE20" s="870" t="str">
        <f>IF(AND($D20&lt;&gt;"",$E20&lt;&gt;""),IF(AND($E20&gt;=AE$6,$D20&lt;=AE$6+2),"■",""),"")</f>
        <v/>
      </c>
      <c r="AF20" s="870" t="str">
        <f>IF(AND($D20&lt;&gt;"",$E20&lt;&gt;""),IF(AND($E20&gt;=AF$6,$D20&lt;=AF$6+2),"■",""),"")</f>
        <v/>
      </c>
      <c r="AG20" s="870" t="str">
        <f>IF(AND($D20&lt;&gt;"",$E20&lt;&gt;""),IF(AND($E20&gt;=AG$6,$D20&lt;=AG$6+2),"■",""),"")</f>
        <v/>
      </c>
      <c r="AH20" s="897" t="str">
        <f>IF(AND($D20&lt;&gt;"",$E20&lt;&gt;""),IF(AND($E20&gt;=AH$6,$D20&lt;=AH$6+2),"■",""),"")</f>
        <v/>
      </c>
    </row>
    <row r="21" spans="1:34" ht="16" customHeight="1">
      <c r="A21" s="892">
        <f>IF(B21&lt;&gt;"",ROW()-6,"")</f>
        <v>15</v>
      </c>
      <c r="B21" s="919" t="s">
        <v>1050</v>
      </c>
      <c r="C21" s="864"/>
      <c r="D21" s="865"/>
      <c r="E21" s="865"/>
      <c r="F21" s="878" t="str">
        <f>IF(AND(D21&lt;&gt;"",E21&lt;&gt;""),E21-D21+1,"")</f>
        <v/>
      </c>
      <c r="G21" s="869" t="str">
        <f>IF(AND($D21&lt;&gt;"",$E21&lt;&gt;""),IF(AND($E21&gt;=G$6,$D21&lt;=G$6+2),"■",""),"")</f>
        <v/>
      </c>
      <c r="H21" s="869" t="str">
        <f>IF(AND($D21&lt;&gt;"",$E21&lt;&gt;""),IF(AND($E21&gt;=H$6,$D21&lt;=H$6+2),"■",""),"")</f>
        <v/>
      </c>
      <c r="I21" s="869" t="str">
        <f>IF(AND($D21&lt;&gt;"",$E21&lt;&gt;""),IF(AND($E21&gt;=I$6,$D21&lt;=I$6+2),"■",""),"")</f>
        <v/>
      </c>
      <c r="J21" s="869" t="str">
        <f>IF(AND($D21&lt;&gt;"",$E21&lt;&gt;""),IF(AND($E21&gt;=J$6,$D21&lt;=J$6+2),"■",""),"")</f>
        <v/>
      </c>
      <c r="K21" s="869" t="str">
        <f>IF(AND($D21&lt;&gt;"",$E21&lt;&gt;""),IF(AND($E21&gt;=K$6,$D21&lt;=K$6+2),"■",""),"")</f>
        <v/>
      </c>
      <c r="L21" s="869" t="str">
        <f>IF(AND($D21&lt;&gt;"",$E21&lt;&gt;""),IF(AND($E21&gt;=L$6,$D21&lt;=L$6+2),"■",""),"")</f>
        <v/>
      </c>
      <c r="M21" s="869" t="str">
        <f>IF(AND($D21&lt;&gt;"",$E21&lt;&gt;""),IF(AND($E21&gt;=M$6,$D21&lt;=M$6+2),"■",""),"")</f>
        <v/>
      </c>
      <c r="N21" s="869" t="str">
        <f>IF(AND($D21&lt;&gt;"",$E21&lt;&gt;""),IF(AND($E21&gt;=N$6,$D21&lt;=N$6+2),"■",""),"")</f>
        <v/>
      </c>
      <c r="O21" s="869" t="str">
        <f>IF(AND($D21&lt;&gt;"",$E21&lt;&gt;""),IF(AND($E21&gt;=O$6,$D21&lt;=O$6+2),"■",""),"")</f>
        <v/>
      </c>
      <c r="P21" s="869" t="str">
        <f>IF(AND($D21&lt;&gt;"",$E21&lt;&gt;""),IF(AND($E21&gt;=P$6,$D21&lt;=P$6+2),"■",""),"")</f>
        <v/>
      </c>
      <c r="Q21" s="869" t="str">
        <f>IF(AND($D21&lt;&gt;"",$E21&lt;&gt;""),IF(AND($E21&gt;=Q$6,$D21&lt;=Q$6+2),"■",""),"")</f>
        <v/>
      </c>
      <c r="R21" s="869" t="str">
        <f>IF(AND($D21&lt;&gt;"",$E21&lt;&gt;""),IF(AND($E21&gt;=R$6,$D21&lt;=R$6+2),"■",""),"")</f>
        <v/>
      </c>
      <c r="S21" s="869" t="str">
        <f>IF(AND($D21&lt;&gt;"",$E21&lt;&gt;""),IF(AND($E21&gt;=S$6,$D21&lt;=S$6+2),"■",""),"")</f>
        <v/>
      </c>
      <c r="T21" s="869" t="str">
        <f>IF(AND($D21&lt;&gt;"",$E21&lt;&gt;""),IF(AND($E21&gt;=T$6,$D21&lt;=T$6+2),"■",""),"")</f>
        <v/>
      </c>
      <c r="U21" s="869" t="str">
        <f>IF(AND($D21&lt;&gt;"",$E21&lt;&gt;""),IF(AND($E21&gt;=U$6,$D21&lt;=U$6+2),"■",""),"")</f>
        <v/>
      </c>
      <c r="V21" s="869" t="str">
        <f>IF(AND($D21&lt;&gt;"",$E21&lt;&gt;""),IF(AND($E21&gt;=V$6,$D21&lt;=V$6+2),"■",""),"")</f>
        <v/>
      </c>
      <c r="W21" s="869" t="str">
        <f>IF(AND($D21&lt;&gt;"",$E21&lt;&gt;""),IF(AND($E21&gt;=W$6,$D21&lt;=W$6+2),"■",""),"")</f>
        <v/>
      </c>
      <c r="X21" s="869" t="str">
        <f>IF(AND($D21&lt;&gt;"",$E21&lt;&gt;""),IF(AND($E21&gt;=X$6,$D21&lt;=X$6+2),"■",""),"")</f>
        <v/>
      </c>
      <c r="Y21" s="869" t="str">
        <f>IF(AND($D21&lt;&gt;"",$E21&lt;&gt;""),IF(AND($E21&gt;=Y$6,$D21&lt;=Y$6+2),"■",""),"")</f>
        <v/>
      </c>
      <c r="Z21" s="869" t="str">
        <f>IF(AND($D21&lt;&gt;"",$E21&lt;&gt;""),IF(AND($E21&gt;=Z$6,$D21&lt;=Z$6+2),"■",""),"")</f>
        <v/>
      </c>
      <c r="AA21" s="869" t="str">
        <f>IF(AND($D21&lt;&gt;"",$E21&lt;&gt;""),IF(AND($E21&gt;=AA$6,$D21&lt;=AA$6+2),"■",""),"")</f>
        <v/>
      </c>
      <c r="AB21" s="869" t="str">
        <f>IF(AND($D21&lt;&gt;"",$E21&lt;&gt;""),IF(AND($E21&gt;=AB$6,$D21&lt;=AB$6+2),"■",""),"")</f>
        <v/>
      </c>
      <c r="AC21" s="869" t="str">
        <f>IF(AND($D21&lt;&gt;"",$E21&lt;&gt;""),IF(AND($E21&gt;=AC$6,$D21&lt;=AC$6+2),"■",""),"")</f>
        <v/>
      </c>
      <c r="AD21" s="869" t="str">
        <f>IF(AND($D21&lt;&gt;"",$E21&lt;&gt;""),IF(AND($E21&gt;=AD$6,$D21&lt;=AD$6+2),"■",""),"")</f>
        <v/>
      </c>
      <c r="AE21" s="869" t="str">
        <f>IF(AND($D21&lt;&gt;"",$E21&lt;&gt;""),IF(AND($E21&gt;=AE$6,$D21&lt;=AE$6+2),"■",""),"")</f>
        <v/>
      </c>
      <c r="AF21" s="869" t="str">
        <f>IF(AND($D21&lt;&gt;"",$E21&lt;&gt;""),IF(AND($E21&gt;=AF$6,$D21&lt;=AF$6+2),"■",""),"")</f>
        <v/>
      </c>
      <c r="AG21" s="869" t="str">
        <f>IF(AND($D21&lt;&gt;"",$E21&lt;&gt;""),IF(AND($E21&gt;=AG$6,$D21&lt;=AG$6+2),"■",""),"")</f>
        <v/>
      </c>
      <c r="AH21" s="898" t="str">
        <f>IF(AND($D21&lt;&gt;"",$E21&lt;&gt;""),IF(AND($E21&gt;=AH$6,$D21&lt;=AH$6+2),"■",""),"")</f>
        <v/>
      </c>
    </row>
    <row r="22" spans="1:34" ht="16" customHeight="1">
      <c r="A22" s="891">
        <f>IF(B22&lt;&gt;"",ROW()-6,"")</f>
        <v>16</v>
      </c>
      <c r="B22" s="920" t="s">
        <v>432</v>
      </c>
      <c r="C22" s="866"/>
      <c r="D22" s="867"/>
      <c r="E22" s="867"/>
      <c r="F22" s="877" t="str">
        <f>IF(AND(D22&lt;&gt;"",E22&lt;&gt;""),E22-D22+1,"")</f>
        <v/>
      </c>
      <c r="G22" s="870" t="str">
        <f>IF(AND($D22&lt;&gt;"",$E22&lt;&gt;""),IF(AND($E22&gt;=G$6,$D22&lt;=G$6+2),"■",""),"")</f>
        <v/>
      </c>
      <c r="H22" s="870" t="str">
        <f>IF(AND($D22&lt;&gt;"",$E22&lt;&gt;""),IF(AND($E22&gt;=H$6,$D22&lt;=H$6+2),"■",""),"")</f>
        <v/>
      </c>
      <c r="I22" s="870" t="str">
        <f>IF(AND($D22&lt;&gt;"",$E22&lt;&gt;""),IF(AND($E22&gt;=I$6,$D22&lt;=I$6+2),"■",""),"")</f>
        <v/>
      </c>
      <c r="J22" s="870" t="str">
        <f>IF(AND($D22&lt;&gt;"",$E22&lt;&gt;""),IF(AND($E22&gt;=J$6,$D22&lt;=J$6+2),"■",""),"")</f>
        <v/>
      </c>
      <c r="K22" s="870" t="str">
        <f>IF(AND($D22&lt;&gt;"",$E22&lt;&gt;""),IF(AND($E22&gt;=K$6,$D22&lt;=K$6+2),"■",""),"")</f>
        <v/>
      </c>
      <c r="L22" s="870" t="str">
        <f>IF(AND($D22&lt;&gt;"",$E22&lt;&gt;""),IF(AND($E22&gt;=L$6,$D22&lt;=L$6+2),"■",""),"")</f>
        <v/>
      </c>
      <c r="M22" s="870" t="str">
        <f>IF(AND($D22&lt;&gt;"",$E22&lt;&gt;""),IF(AND($E22&gt;=M$6,$D22&lt;=M$6+2),"■",""),"")</f>
        <v/>
      </c>
      <c r="N22" s="870" t="str">
        <f>IF(AND($D22&lt;&gt;"",$E22&lt;&gt;""),IF(AND($E22&gt;=N$6,$D22&lt;=N$6+2),"■",""),"")</f>
        <v/>
      </c>
      <c r="O22" s="870" t="str">
        <f>IF(AND($D22&lt;&gt;"",$E22&lt;&gt;""),IF(AND($E22&gt;=O$6,$D22&lt;=O$6+2),"■",""),"")</f>
        <v/>
      </c>
      <c r="P22" s="870" t="str">
        <f>IF(AND($D22&lt;&gt;"",$E22&lt;&gt;""),IF(AND($E22&gt;=P$6,$D22&lt;=P$6+2),"■",""),"")</f>
        <v/>
      </c>
      <c r="Q22" s="870" t="str">
        <f>IF(AND($D22&lt;&gt;"",$E22&lt;&gt;""),IF(AND($E22&gt;=Q$6,$D22&lt;=Q$6+2),"■",""),"")</f>
        <v/>
      </c>
      <c r="R22" s="870" t="str">
        <f>IF(AND($D22&lt;&gt;"",$E22&lt;&gt;""),IF(AND($E22&gt;=R$6,$D22&lt;=R$6+2),"■",""),"")</f>
        <v/>
      </c>
      <c r="S22" s="870" t="str">
        <f>IF(AND($D22&lt;&gt;"",$E22&lt;&gt;""),IF(AND($E22&gt;=S$6,$D22&lt;=S$6+2),"■",""),"")</f>
        <v/>
      </c>
      <c r="T22" s="870" t="str">
        <f>IF(AND($D22&lt;&gt;"",$E22&lt;&gt;""),IF(AND($E22&gt;=T$6,$D22&lt;=T$6+2),"■",""),"")</f>
        <v/>
      </c>
      <c r="U22" s="870" t="str">
        <f>IF(AND($D22&lt;&gt;"",$E22&lt;&gt;""),IF(AND($E22&gt;=U$6,$D22&lt;=U$6+2),"■",""),"")</f>
        <v/>
      </c>
      <c r="V22" s="870" t="str">
        <f>IF(AND($D22&lt;&gt;"",$E22&lt;&gt;""),IF(AND($E22&gt;=V$6,$D22&lt;=V$6+2),"■",""),"")</f>
        <v/>
      </c>
      <c r="W22" s="870" t="str">
        <f>IF(AND($D22&lt;&gt;"",$E22&lt;&gt;""),IF(AND($E22&gt;=W$6,$D22&lt;=W$6+2),"■",""),"")</f>
        <v/>
      </c>
      <c r="X22" s="870" t="str">
        <f>IF(AND($D22&lt;&gt;"",$E22&lt;&gt;""),IF(AND($E22&gt;=X$6,$D22&lt;=X$6+2),"■",""),"")</f>
        <v/>
      </c>
      <c r="Y22" s="870" t="str">
        <f>IF(AND($D22&lt;&gt;"",$E22&lt;&gt;""),IF(AND($E22&gt;=Y$6,$D22&lt;=Y$6+2),"■",""),"")</f>
        <v/>
      </c>
      <c r="Z22" s="870" t="str">
        <f>IF(AND($D22&lt;&gt;"",$E22&lt;&gt;""),IF(AND($E22&gt;=Z$6,$D22&lt;=Z$6+2),"■",""),"")</f>
        <v/>
      </c>
      <c r="AA22" s="870" t="str">
        <f>IF(AND($D22&lt;&gt;"",$E22&lt;&gt;""),IF(AND($E22&gt;=AA$6,$D22&lt;=AA$6+2),"■",""),"")</f>
        <v/>
      </c>
      <c r="AB22" s="870" t="str">
        <f>IF(AND($D22&lt;&gt;"",$E22&lt;&gt;""),IF(AND($E22&gt;=AB$6,$D22&lt;=AB$6+2),"■",""),"")</f>
        <v/>
      </c>
      <c r="AC22" s="870" t="str">
        <f>IF(AND($D22&lt;&gt;"",$E22&lt;&gt;""),IF(AND($E22&gt;=AC$6,$D22&lt;=AC$6+2),"■",""),"")</f>
        <v/>
      </c>
      <c r="AD22" s="870" t="str">
        <f>IF(AND($D22&lt;&gt;"",$E22&lt;&gt;""),IF(AND($E22&gt;=AD$6,$D22&lt;=AD$6+2),"■",""),"")</f>
        <v/>
      </c>
      <c r="AE22" s="870" t="str">
        <f>IF(AND($D22&lt;&gt;"",$E22&lt;&gt;""),IF(AND($E22&gt;=AE$6,$D22&lt;=AE$6+2),"■",""),"")</f>
        <v/>
      </c>
      <c r="AF22" s="870" t="str">
        <f>IF(AND($D22&lt;&gt;"",$E22&lt;&gt;""),IF(AND($E22&gt;=AF$6,$D22&lt;=AF$6+2),"■",""),"")</f>
        <v/>
      </c>
      <c r="AG22" s="870" t="str">
        <f>IF(AND($D22&lt;&gt;"",$E22&lt;&gt;""),IF(AND($E22&gt;=AG$6,$D22&lt;=AG$6+2),"■",""),"")</f>
        <v/>
      </c>
      <c r="AH22" s="897" t="str">
        <f>IF(AND($D22&lt;&gt;"",$E22&lt;&gt;""),IF(AND($E22&gt;=AH$6,$D22&lt;=AH$6+2),"■",""),"")</f>
        <v/>
      </c>
    </row>
    <row r="23" spans="1:34" ht="16" customHeight="1">
      <c r="A23" s="892">
        <f>IF(B23&lt;&gt;"",ROW()-6,"")</f>
        <v>17</v>
      </c>
      <c r="B23" s="919" t="s">
        <v>1051</v>
      </c>
      <c r="C23" s="864"/>
      <c r="D23" s="865"/>
      <c r="E23" s="865"/>
      <c r="F23" s="878" t="str">
        <f>IF(AND(D23&lt;&gt;"",E23&lt;&gt;""),E23-D23+1,"")</f>
        <v/>
      </c>
      <c r="G23" s="869" t="str">
        <f>IF(AND($D23&lt;&gt;"",$E23&lt;&gt;""),IF(AND($E23&gt;=G$6,$D23&lt;=G$6+2),"■",""),"")</f>
        <v/>
      </c>
      <c r="H23" s="869" t="str">
        <f>IF(AND($D23&lt;&gt;"",$E23&lt;&gt;""),IF(AND($E23&gt;=H$6,$D23&lt;=H$6+2),"■",""),"")</f>
        <v/>
      </c>
      <c r="I23" s="869" t="str">
        <f>IF(AND($D23&lt;&gt;"",$E23&lt;&gt;""),IF(AND($E23&gt;=I$6,$D23&lt;=I$6+2),"■",""),"")</f>
        <v/>
      </c>
      <c r="J23" s="869" t="str">
        <f>IF(AND($D23&lt;&gt;"",$E23&lt;&gt;""),IF(AND($E23&gt;=J$6,$D23&lt;=J$6+2),"■",""),"")</f>
        <v/>
      </c>
      <c r="K23" s="869" t="str">
        <f>IF(AND($D23&lt;&gt;"",$E23&lt;&gt;""),IF(AND($E23&gt;=K$6,$D23&lt;=K$6+2),"■",""),"")</f>
        <v/>
      </c>
      <c r="L23" s="869" t="str">
        <f>IF(AND($D23&lt;&gt;"",$E23&lt;&gt;""),IF(AND($E23&gt;=L$6,$D23&lt;=L$6+2),"■",""),"")</f>
        <v/>
      </c>
      <c r="M23" s="869" t="str">
        <f>IF(AND($D23&lt;&gt;"",$E23&lt;&gt;""),IF(AND($E23&gt;=M$6,$D23&lt;=M$6+2),"■",""),"")</f>
        <v/>
      </c>
      <c r="N23" s="869" t="str">
        <f>IF(AND($D23&lt;&gt;"",$E23&lt;&gt;""),IF(AND($E23&gt;=N$6,$D23&lt;=N$6+2),"■",""),"")</f>
        <v/>
      </c>
      <c r="O23" s="869" t="str">
        <f>IF(AND($D23&lt;&gt;"",$E23&lt;&gt;""),IF(AND($E23&gt;=O$6,$D23&lt;=O$6+2),"■",""),"")</f>
        <v/>
      </c>
      <c r="P23" s="869" t="str">
        <f>IF(AND($D23&lt;&gt;"",$E23&lt;&gt;""),IF(AND($E23&gt;=P$6,$D23&lt;=P$6+2),"■",""),"")</f>
        <v/>
      </c>
      <c r="Q23" s="869" t="str">
        <f>IF(AND($D23&lt;&gt;"",$E23&lt;&gt;""),IF(AND($E23&gt;=Q$6,$D23&lt;=Q$6+2),"■",""),"")</f>
        <v/>
      </c>
      <c r="R23" s="869" t="str">
        <f>IF(AND($D23&lt;&gt;"",$E23&lt;&gt;""),IF(AND($E23&gt;=R$6,$D23&lt;=R$6+2),"■",""),"")</f>
        <v/>
      </c>
      <c r="S23" s="869" t="str">
        <f>IF(AND($D23&lt;&gt;"",$E23&lt;&gt;""),IF(AND($E23&gt;=S$6,$D23&lt;=S$6+2),"■",""),"")</f>
        <v/>
      </c>
      <c r="T23" s="869" t="str">
        <f>IF(AND($D23&lt;&gt;"",$E23&lt;&gt;""),IF(AND($E23&gt;=T$6,$D23&lt;=T$6+2),"■",""),"")</f>
        <v/>
      </c>
      <c r="U23" s="869" t="str">
        <f>IF(AND($D23&lt;&gt;"",$E23&lt;&gt;""),IF(AND($E23&gt;=U$6,$D23&lt;=U$6+2),"■",""),"")</f>
        <v/>
      </c>
      <c r="V23" s="869" t="str">
        <f>IF(AND($D23&lt;&gt;"",$E23&lt;&gt;""),IF(AND($E23&gt;=V$6,$D23&lt;=V$6+2),"■",""),"")</f>
        <v/>
      </c>
      <c r="W23" s="869" t="str">
        <f>IF(AND($D23&lt;&gt;"",$E23&lt;&gt;""),IF(AND($E23&gt;=W$6,$D23&lt;=W$6+2),"■",""),"")</f>
        <v/>
      </c>
      <c r="X23" s="869" t="str">
        <f>IF(AND($D23&lt;&gt;"",$E23&lt;&gt;""),IF(AND($E23&gt;=X$6,$D23&lt;=X$6+2),"■",""),"")</f>
        <v/>
      </c>
      <c r="Y23" s="869" t="str">
        <f>IF(AND($D23&lt;&gt;"",$E23&lt;&gt;""),IF(AND($E23&gt;=Y$6,$D23&lt;=Y$6+2),"■",""),"")</f>
        <v/>
      </c>
      <c r="Z23" s="869" t="str">
        <f>IF(AND($D23&lt;&gt;"",$E23&lt;&gt;""),IF(AND($E23&gt;=Z$6,$D23&lt;=Z$6+2),"■",""),"")</f>
        <v/>
      </c>
      <c r="AA23" s="869" t="str">
        <f>IF(AND($D23&lt;&gt;"",$E23&lt;&gt;""),IF(AND($E23&gt;=AA$6,$D23&lt;=AA$6+2),"■",""),"")</f>
        <v/>
      </c>
      <c r="AB23" s="869" t="str">
        <f>IF(AND($D23&lt;&gt;"",$E23&lt;&gt;""),IF(AND($E23&gt;=AB$6,$D23&lt;=AB$6+2),"■",""),"")</f>
        <v/>
      </c>
      <c r="AC23" s="869" t="str">
        <f>IF(AND($D23&lt;&gt;"",$E23&lt;&gt;""),IF(AND($E23&gt;=AC$6,$D23&lt;=AC$6+2),"■",""),"")</f>
        <v/>
      </c>
      <c r="AD23" s="869" t="str">
        <f>IF(AND($D23&lt;&gt;"",$E23&lt;&gt;""),IF(AND($E23&gt;=AD$6,$D23&lt;=AD$6+2),"■",""),"")</f>
        <v/>
      </c>
      <c r="AE23" s="869" t="str">
        <f>IF(AND($D23&lt;&gt;"",$E23&lt;&gt;""),IF(AND($E23&gt;=AE$6,$D23&lt;=AE$6+2),"■",""),"")</f>
        <v/>
      </c>
      <c r="AF23" s="869" t="str">
        <f>IF(AND($D23&lt;&gt;"",$E23&lt;&gt;""),IF(AND($E23&gt;=AF$6,$D23&lt;=AF$6+2),"■",""),"")</f>
        <v/>
      </c>
      <c r="AG23" s="869" t="str">
        <f>IF(AND($D23&lt;&gt;"",$E23&lt;&gt;""),IF(AND($E23&gt;=AG$6,$D23&lt;=AG$6+2),"■",""),"")</f>
        <v/>
      </c>
      <c r="AH23" s="898" t="str">
        <f>IF(AND($D23&lt;&gt;"",$E23&lt;&gt;""),IF(AND($E23&gt;=AH$6,$D23&lt;=AH$6+2),"■",""),"")</f>
        <v/>
      </c>
    </row>
    <row r="24" spans="1:34" ht="16" customHeight="1">
      <c r="A24" s="891">
        <f>IF(B24&lt;&gt;"",ROW()-6,"")</f>
        <v>18</v>
      </c>
      <c r="B24" s="920" t="s">
        <v>1052</v>
      </c>
      <c r="C24" s="866"/>
      <c r="D24" s="867"/>
      <c r="E24" s="867"/>
      <c r="F24" s="877" t="str">
        <f>IF(AND(D24&lt;&gt;"",E24&lt;&gt;""),E24-D24+1,"")</f>
        <v/>
      </c>
      <c r="G24" s="870" t="str">
        <f>IF(AND($D24&lt;&gt;"",$E24&lt;&gt;""),IF(AND($E24&gt;=G$6,$D24&lt;=G$6+2),"■",""),"")</f>
        <v/>
      </c>
      <c r="H24" s="870" t="str">
        <f>IF(AND($D24&lt;&gt;"",$E24&lt;&gt;""),IF(AND($E24&gt;=H$6,$D24&lt;=H$6+2),"■",""),"")</f>
        <v/>
      </c>
      <c r="I24" s="870" t="str">
        <f>IF(AND($D24&lt;&gt;"",$E24&lt;&gt;""),IF(AND($E24&gt;=I$6,$D24&lt;=I$6+2),"■",""),"")</f>
        <v/>
      </c>
      <c r="J24" s="870" t="str">
        <f>IF(AND($D24&lt;&gt;"",$E24&lt;&gt;""),IF(AND($E24&gt;=J$6,$D24&lt;=J$6+2),"■",""),"")</f>
        <v/>
      </c>
      <c r="K24" s="870" t="str">
        <f>IF(AND($D24&lt;&gt;"",$E24&lt;&gt;""),IF(AND($E24&gt;=K$6,$D24&lt;=K$6+2),"■",""),"")</f>
        <v/>
      </c>
      <c r="L24" s="870" t="str">
        <f>IF(AND($D24&lt;&gt;"",$E24&lt;&gt;""),IF(AND($E24&gt;=L$6,$D24&lt;=L$6+2),"■",""),"")</f>
        <v/>
      </c>
      <c r="M24" s="870" t="str">
        <f>IF(AND($D24&lt;&gt;"",$E24&lt;&gt;""),IF(AND($E24&gt;=M$6,$D24&lt;=M$6+2),"■",""),"")</f>
        <v/>
      </c>
      <c r="N24" s="870" t="str">
        <f>IF(AND($D24&lt;&gt;"",$E24&lt;&gt;""),IF(AND($E24&gt;=N$6,$D24&lt;=N$6+2),"■",""),"")</f>
        <v/>
      </c>
      <c r="O24" s="870" t="str">
        <f>IF(AND($D24&lt;&gt;"",$E24&lt;&gt;""),IF(AND($E24&gt;=O$6,$D24&lt;=O$6+2),"■",""),"")</f>
        <v/>
      </c>
      <c r="P24" s="870" t="str">
        <f>IF(AND($D24&lt;&gt;"",$E24&lt;&gt;""),IF(AND($E24&gt;=P$6,$D24&lt;=P$6+2),"■",""),"")</f>
        <v/>
      </c>
      <c r="Q24" s="870" t="str">
        <f>IF(AND($D24&lt;&gt;"",$E24&lt;&gt;""),IF(AND($E24&gt;=Q$6,$D24&lt;=Q$6+2),"■",""),"")</f>
        <v/>
      </c>
      <c r="R24" s="870" t="str">
        <f>IF(AND($D24&lt;&gt;"",$E24&lt;&gt;""),IF(AND($E24&gt;=R$6,$D24&lt;=R$6+2),"■",""),"")</f>
        <v/>
      </c>
      <c r="S24" s="870" t="str">
        <f>IF(AND($D24&lt;&gt;"",$E24&lt;&gt;""),IF(AND($E24&gt;=S$6,$D24&lt;=S$6+2),"■",""),"")</f>
        <v/>
      </c>
      <c r="T24" s="870" t="str">
        <f>IF(AND($D24&lt;&gt;"",$E24&lt;&gt;""),IF(AND($E24&gt;=T$6,$D24&lt;=T$6+2),"■",""),"")</f>
        <v/>
      </c>
      <c r="U24" s="870" t="str">
        <f>IF(AND($D24&lt;&gt;"",$E24&lt;&gt;""),IF(AND($E24&gt;=U$6,$D24&lt;=U$6+2),"■",""),"")</f>
        <v/>
      </c>
      <c r="V24" s="870" t="str">
        <f>IF(AND($D24&lt;&gt;"",$E24&lt;&gt;""),IF(AND($E24&gt;=V$6,$D24&lt;=V$6+2),"■",""),"")</f>
        <v/>
      </c>
      <c r="W24" s="870" t="str">
        <f>IF(AND($D24&lt;&gt;"",$E24&lt;&gt;""),IF(AND($E24&gt;=W$6,$D24&lt;=W$6+2),"■",""),"")</f>
        <v/>
      </c>
      <c r="X24" s="870" t="str">
        <f>IF(AND($D24&lt;&gt;"",$E24&lt;&gt;""),IF(AND($E24&gt;=X$6,$D24&lt;=X$6+2),"■",""),"")</f>
        <v/>
      </c>
      <c r="Y24" s="870" t="str">
        <f>IF(AND($D24&lt;&gt;"",$E24&lt;&gt;""),IF(AND($E24&gt;=Y$6,$D24&lt;=Y$6+2),"■",""),"")</f>
        <v/>
      </c>
      <c r="Z24" s="870" t="str">
        <f>IF(AND($D24&lt;&gt;"",$E24&lt;&gt;""),IF(AND($E24&gt;=Z$6,$D24&lt;=Z$6+2),"■",""),"")</f>
        <v/>
      </c>
      <c r="AA24" s="870" t="str">
        <f>IF(AND($D24&lt;&gt;"",$E24&lt;&gt;""),IF(AND($E24&gt;=AA$6,$D24&lt;=AA$6+2),"■",""),"")</f>
        <v/>
      </c>
      <c r="AB24" s="870" t="str">
        <f>IF(AND($D24&lt;&gt;"",$E24&lt;&gt;""),IF(AND($E24&gt;=AB$6,$D24&lt;=AB$6+2),"■",""),"")</f>
        <v/>
      </c>
      <c r="AC24" s="870" t="str">
        <f>IF(AND($D24&lt;&gt;"",$E24&lt;&gt;""),IF(AND($E24&gt;=AC$6,$D24&lt;=AC$6+2),"■",""),"")</f>
        <v/>
      </c>
      <c r="AD24" s="870" t="str">
        <f>IF(AND($D24&lt;&gt;"",$E24&lt;&gt;""),IF(AND($E24&gt;=AD$6,$D24&lt;=AD$6+2),"■",""),"")</f>
        <v/>
      </c>
      <c r="AE24" s="870" t="str">
        <f>IF(AND($D24&lt;&gt;"",$E24&lt;&gt;""),IF(AND($E24&gt;=AE$6,$D24&lt;=AE$6+2),"■",""),"")</f>
        <v/>
      </c>
      <c r="AF24" s="870" t="str">
        <f>IF(AND($D24&lt;&gt;"",$E24&lt;&gt;""),IF(AND($E24&gt;=AF$6,$D24&lt;=AF$6+2),"■",""),"")</f>
        <v/>
      </c>
      <c r="AG24" s="870" t="str">
        <f>IF(AND($D24&lt;&gt;"",$E24&lt;&gt;""),IF(AND($E24&gt;=AG$6,$D24&lt;=AG$6+2),"■",""),"")</f>
        <v/>
      </c>
      <c r="AH24" s="897" t="str">
        <f>IF(AND($D24&lt;&gt;"",$E24&lt;&gt;""),IF(AND($E24&gt;=AH$6,$D24&lt;=AH$6+2),"■",""),"")</f>
        <v/>
      </c>
    </row>
    <row r="25" spans="1:34" ht="16" customHeight="1">
      <c r="A25" s="892">
        <f>IF(B25&lt;&gt;"",ROW()-6,"")</f>
        <v>19</v>
      </c>
      <c r="B25" s="919" t="s">
        <v>1053</v>
      </c>
      <c r="C25" s="864"/>
      <c r="D25" s="865"/>
      <c r="E25" s="865"/>
      <c r="F25" s="878" t="str">
        <f>IF(AND(D25&lt;&gt;"",E25&lt;&gt;""),E25-D25+1,"")</f>
        <v/>
      </c>
      <c r="G25" s="869" t="str">
        <f>IF(AND($D25&lt;&gt;"",$E25&lt;&gt;""),IF(AND($E25&gt;=G$6,$D25&lt;=G$6+2),"■",""),"")</f>
        <v/>
      </c>
      <c r="H25" s="869" t="str">
        <f>IF(AND($D25&lt;&gt;"",$E25&lt;&gt;""),IF(AND($E25&gt;=H$6,$D25&lt;=H$6+2),"■",""),"")</f>
        <v/>
      </c>
      <c r="I25" s="869" t="str">
        <f>IF(AND($D25&lt;&gt;"",$E25&lt;&gt;""),IF(AND($E25&gt;=I$6,$D25&lt;=I$6+2),"■",""),"")</f>
        <v/>
      </c>
      <c r="J25" s="869" t="str">
        <f>IF(AND($D25&lt;&gt;"",$E25&lt;&gt;""),IF(AND($E25&gt;=J$6,$D25&lt;=J$6+2),"■",""),"")</f>
        <v/>
      </c>
      <c r="K25" s="869" t="str">
        <f>IF(AND($D25&lt;&gt;"",$E25&lt;&gt;""),IF(AND($E25&gt;=K$6,$D25&lt;=K$6+2),"■",""),"")</f>
        <v/>
      </c>
      <c r="L25" s="869" t="str">
        <f>IF(AND($D25&lt;&gt;"",$E25&lt;&gt;""),IF(AND($E25&gt;=L$6,$D25&lt;=L$6+2),"■",""),"")</f>
        <v/>
      </c>
      <c r="M25" s="869" t="str">
        <f>IF(AND($D25&lt;&gt;"",$E25&lt;&gt;""),IF(AND($E25&gt;=M$6,$D25&lt;=M$6+2),"■",""),"")</f>
        <v/>
      </c>
      <c r="N25" s="869" t="str">
        <f>IF(AND($D25&lt;&gt;"",$E25&lt;&gt;""),IF(AND($E25&gt;=N$6,$D25&lt;=N$6+2),"■",""),"")</f>
        <v/>
      </c>
      <c r="O25" s="869" t="str">
        <f>IF(AND($D25&lt;&gt;"",$E25&lt;&gt;""),IF(AND($E25&gt;=O$6,$D25&lt;=O$6+2),"■",""),"")</f>
        <v/>
      </c>
      <c r="P25" s="869" t="str">
        <f>IF(AND($D25&lt;&gt;"",$E25&lt;&gt;""),IF(AND($E25&gt;=P$6,$D25&lt;=P$6+2),"■",""),"")</f>
        <v/>
      </c>
      <c r="Q25" s="869" t="str">
        <f>IF(AND($D25&lt;&gt;"",$E25&lt;&gt;""),IF(AND($E25&gt;=Q$6,$D25&lt;=Q$6+2),"■",""),"")</f>
        <v/>
      </c>
      <c r="R25" s="869" t="str">
        <f>IF(AND($D25&lt;&gt;"",$E25&lt;&gt;""),IF(AND($E25&gt;=R$6,$D25&lt;=R$6+2),"■",""),"")</f>
        <v/>
      </c>
      <c r="S25" s="869" t="str">
        <f>IF(AND($D25&lt;&gt;"",$E25&lt;&gt;""),IF(AND($E25&gt;=S$6,$D25&lt;=S$6+2),"■",""),"")</f>
        <v/>
      </c>
      <c r="T25" s="869" t="str">
        <f>IF(AND($D25&lt;&gt;"",$E25&lt;&gt;""),IF(AND($E25&gt;=T$6,$D25&lt;=T$6+2),"■",""),"")</f>
        <v/>
      </c>
      <c r="U25" s="869" t="str">
        <f>IF(AND($D25&lt;&gt;"",$E25&lt;&gt;""),IF(AND($E25&gt;=U$6,$D25&lt;=U$6+2),"■",""),"")</f>
        <v/>
      </c>
      <c r="V25" s="869" t="str">
        <f>IF(AND($D25&lt;&gt;"",$E25&lt;&gt;""),IF(AND($E25&gt;=V$6,$D25&lt;=V$6+2),"■",""),"")</f>
        <v/>
      </c>
      <c r="W25" s="869" t="str">
        <f>IF(AND($D25&lt;&gt;"",$E25&lt;&gt;""),IF(AND($E25&gt;=W$6,$D25&lt;=W$6+2),"■",""),"")</f>
        <v/>
      </c>
      <c r="X25" s="869" t="str">
        <f>IF(AND($D25&lt;&gt;"",$E25&lt;&gt;""),IF(AND($E25&gt;=X$6,$D25&lt;=X$6+2),"■",""),"")</f>
        <v/>
      </c>
      <c r="Y25" s="869" t="str">
        <f>IF(AND($D25&lt;&gt;"",$E25&lt;&gt;""),IF(AND($E25&gt;=Y$6,$D25&lt;=Y$6+2),"■",""),"")</f>
        <v/>
      </c>
      <c r="Z25" s="869" t="str">
        <f>IF(AND($D25&lt;&gt;"",$E25&lt;&gt;""),IF(AND($E25&gt;=Z$6,$D25&lt;=Z$6+2),"■",""),"")</f>
        <v/>
      </c>
      <c r="AA25" s="869" t="str">
        <f>IF(AND($D25&lt;&gt;"",$E25&lt;&gt;""),IF(AND($E25&gt;=AA$6,$D25&lt;=AA$6+2),"■",""),"")</f>
        <v/>
      </c>
      <c r="AB25" s="869" t="str">
        <f>IF(AND($D25&lt;&gt;"",$E25&lt;&gt;""),IF(AND($E25&gt;=AB$6,$D25&lt;=AB$6+2),"■",""),"")</f>
        <v/>
      </c>
      <c r="AC25" s="869" t="str">
        <f>IF(AND($D25&lt;&gt;"",$E25&lt;&gt;""),IF(AND($E25&gt;=AC$6,$D25&lt;=AC$6+2),"■",""),"")</f>
        <v/>
      </c>
      <c r="AD25" s="869" t="str">
        <f>IF(AND($D25&lt;&gt;"",$E25&lt;&gt;""),IF(AND($E25&gt;=AD$6,$D25&lt;=AD$6+2),"■",""),"")</f>
        <v/>
      </c>
      <c r="AE25" s="869" t="str">
        <f>IF(AND($D25&lt;&gt;"",$E25&lt;&gt;""),IF(AND($E25&gt;=AE$6,$D25&lt;=AE$6+2),"■",""),"")</f>
        <v/>
      </c>
      <c r="AF25" s="869" t="str">
        <f>IF(AND($D25&lt;&gt;"",$E25&lt;&gt;""),IF(AND($E25&gt;=AF$6,$D25&lt;=AF$6+2),"■",""),"")</f>
        <v/>
      </c>
      <c r="AG25" s="869" t="str">
        <f>IF(AND($D25&lt;&gt;"",$E25&lt;&gt;""),IF(AND($E25&gt;=AG$6,$D25&lt;=AG$6+2),"■",""),"")</f>
        <v/>
      </c>
      <c r="AH25" s="898" t="str">
        <f>IF(AND($D25&lt;&gt;"",$E25&lt;&gt;""),IF(AND($E25&gt;=AH$6,$D25&lt;=AH$6+2),"■",""),"")</f>
        <v/>
      </c>
    </row>
    <row r="26" spans="1:34" ht="16" customHeight="1" thickBot="1">
      <c r="A26" s="893">
        <f>IF(B26&lt;&gt;"",ROW()-6,"")</f>
        <v>20</v>
      </c>
      <c r="B26" s="921" t="s">
        <v>492</v>
      </c>
      <c r="C26" s="884"/>
      <c r="D26" s="885"/>
      <c r="E26" s="885"/>
      <c r="F26" s="883" t="str">
        <f>IF(AND(D26&lt;&gt;"",E26&lt;&gt;""),E26-D26+1,"")</f>
        <v/>
      </c>
      <c r="G26" s="886" t="str">
        <f>IF(AND($D26&lt;&gt;"",$E26&lt;&gt;""),IF(AND($E26&gt;=G$6,$D26&lt;=G$6+2),"■",""),"")</f>
        <v/>
      </c>
      <c r="H26" s="887" t="str">
        <f>IF(AND($D26&lt;&gt;"",$E26&lt;&gt;""),IF(AND($E26&gt;=H$6,$D26&lt;=H$6+2),"■",""),"")</f>
        <v/>
      </c>
      <c r="I26" s="887" t="str">
        <f>IF(AND($D26&lt;&gt;"",$E26&lt;&gt;""),IF(AND($E26&gt;=I$6,$D26&lt;=I$6+2),"■",""),"")</f>
        <v/>
      </c>
      <c r="J26" s="887" t="str">
        <f>IF(AND($D26&lt;&gt;"",$E26&lt;&gt;""),IF(AND($E26&gt;=J$6,$D26&lt;=J$6+2),"■",""),"")</f>
        <v/>
      </c>
      <c r="K26" s="887" t="str">
        <f>IF(AND($D26&lt;&gt;"",$E26&lt;&gt;""),IF(AND($E26&gt;=K$6,$D26&lt;=K$6+2),"■",""),"")</f>
        <v/>
      </c>
      <c r="L26" s="887" t="str">
        <f>IF(AND($D26&lt;&gt;"",$E26&lt;&gt;""),IF(AND($E26&gt;=L$6,$D26&lt;=L$6+2),"■",""),"")</f>
        <v/>
      </c>
      <c r="M26" s="887" t="str">
        <f>IF(AND($D26&lt;&gt;"",$E26&lt;&gt;""),IF(AND($E26&gt;=M$6,$D26&lt;=M$6+2),"■",""),"")</f>
        <v/>
      </c>
      <c r="N26" s="887" t="str">
        <f>IF(AND($D26&lt;&gt;"",$E26&lt;&gt;""),IF(AND($E26&gt;=N$6,$D26&lt;=N$6+2),"■",""),"")</f>
        <v/>
      </c>
      <c r="O26" s="887" t="str">
        <f>IF(AND($D26&lt;&gt;"",$E26&lt;&gt;""),IF(AND($E26&gt;=O$6,$D26&lt;=O$6+2),"■",""),"")</f>
        <v/>
      </c>
      <c r="P26" s="887" t="str">
        <f>IF(AND($D26&lt;&gt;"",$E26&lt;&gt;""),IF(AND($E26&gt;=P$6,$D26&lt;=P$6+2),"■",""),"")</f>
        <v/>
      </c>
      <c r="Q26" s="887" t="str">
        <f>IF(AND($D26&lt;&gt;"",$E26&lt;&gt;""),IF(AND($E26&gt;=Q$6,$D26&lt;=Q$6+2),"■",""),"")</f>
        <v/>
      </c>
      <c r="R26" s="887" t="str">
        <f>IF(AND($D26&lt;&gt;"",$E26&lt;&gt;""),IF(AND($E26&gt;=R$6,$D26&lt;=R$6+2),"■",""),"")</f>
        <v/>
      </c>
      <c r="S26" s="887" t="str">
        <f>IF(AND($D26&lt;&gt;"",$E26&lt;&gt;""),IF(AND($E26&gt;=S$6,$D26&lt;=S$6+2),"■",""),"")</f>
        <v/>
      </c>
      <c r="T26" s="887" t="str">
        <f>IF(AND($D26&lt;&gt;"",$E26&lt;&gt;""),IF(AND($E26&gt;=T$6,$D26&lt;=T$6+2),"■",""),"")</f>
        <v/>
      </c>
      <c r="U26" s="887" t="str">
        <f>IF(AND($D26&lt;&gt;"",$E26&lt;&gt;""),IF(AND($E26&gt;=U$6,$D26&lt;=U$6+2),"■",""),"")</f>
        <v/>
      </c>
      <c r="V26" s="887" t="str">
        <f>IF(AND($D26&lt;&gt;"",$E26&lt;&gt;""),IF(AND($E26&gt;=V$6,$D26&lt;=V$6+2),"■",""),"")</f>
        <v/>
      </c>
      <c r="W26" s="887" t="str">
        <f>IF(AND($D26&lt;&gt;"",$E26&lt;&gt;""),IF(AND($E26&gt;=W$6,$D26&lt;=W$6+2),"■",""),"")</f>
        <v/>
      </c>
      <c r="X26" s="887" t="str">
        <f>IF(AND($D26&lt;&gt;"",$E26&lt;&gt;""),IF(AND($E26&gt;=X$6,$D26&lt;=X$6+2),"■",""),"")</f>
        <v/>
      </c>
      <c r="Y26" s="887" t="str">
        <f>IF(AND($D26&lt;&gt;"",$E26&lt;&gt;""),IF(AND($E26&gt;=Y$6,$D26&lt;=Y$6+2),"■",""),"")</f>
        <v/>
      </c>
      <c r="Z26" s="887" t="str">
        <f>IF(AND($D26&lt;&gt;"",$E26&lt;&gt;""),IF(AND($E26&gt;=Z$6,$D26&lt;=Z$6+2),"■",""),"")</f>
        <v/>
      </c>
      <c r="AA26" s="887" t="str">
        <f>IF(AND($D26&lt;&gt;"",$E26&lt;&gt;""),IF(AND($E26&gt;=AA$6,$D26&lt;=AA$6+2),"■",""),"")</f>
        <v/>
      </c>
      <c r="AB26" s="887" t="str">
        <f>IF(AND($D26&lt;&gt;"",$E26&lt;&gt;""),IF(AND($E26&gt;=AB$6,$D26&lt;=AB$6+2),"■",""),"")</f>
        <v/>
      </c>
      <c r="AC26" s="887" t="str">
        <f>IF(AND($D26&lt;&gt;"",$E26&lt;&gt;""),IF(AND($E26&gt;=AC$6,$D26&lt;=AC$6+2),"■",""),"")</f>
        <v/>
      </c>
      <c r="AD26" s="887" t="str">
        <f>IF(AND($D26&lt;&gt;"",$E26&lt;&gt;""),IF(AND($E26&gt;=AD$6,$D26&lt;=AD$6+2),"■",""),"")</f>
        <v/>
      </c>
      <c r="AE26" s="887" t="str">
        <f>IF(AND($D26&lt;&gt;"",$E26&lt;&gt;""),IF(AND($E26&gt;=AE$6,$D26&lt;=AE$6+2),"■",""),"")</f>
        <v/>
      </c>
      <c r="AF26" s="887" t="str">
        <f>IF(AND($D26&lt;&gt;"",$E26&lt;&gt;""),IF(AND($E26&gt;=AF$6,$D26&lt;=AF$6+2),"■",""),"")</f>
        <v/>
      </c>
      <c r="AG26" s="887" t="str">
        <f>IF(AND($D26&lt;&gt;"",$E26&lt;&gt;""),IF(AND($E26&gt;=AG$6,$D26&lt;=AG$6+2),"■",""),"")</f>
        <v/>
      </c>
      <c r="AH26" s="899"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4" t="s">
        <v>1100</v>
      </c>
    </row>
    <row r="2" spans="1:7">
      <c r="A2" s="925" t="s">
        <v>1101</v>
      </c>
    </row>
    <row r="4" spans="1:7" ht="17">
      <c r="A4" s="901" t="s">
        <v>1102</v>
      </c>
    </row>
    <row r="5" spans="1:7">
      <c r="A5" s="926" t="s">
        <v>1103</v>
      </c>
    </row>
    <row r="6" spans="1:7">
      <c r="A6" s="859" t="s">
        <v>321</v>
      </c>
      <c r="B6" s="859" t="s">
        <v>1104</v>
      </c>
      <c r="C6" s="859" t="s">
        <v>1105</v>
      </c>
      <c r="D6" s="859" t="s">
        <v>1106</v>
      </c>
      <c r="E6" s="859" t="s">
        <v>1107</v>
      </c>
      <c r="F6" s="859" t="s">
        <v>1108</v>
      </c>
      <c r="G6" s="859" t="s">
        <v>1109</v>
      </c>
    </row>
    <row r="7" spans="1:7">
      <c r="A7" s="862">
        <v>1</v>
      </c>
      <c r="B7" s="862" t="s">
        <v>1110</v>
      </c>
      <c r="C7" s="928" t="s">
        <v>1111</v>
      </c>
      <c r="D7" s="928" t="s">
        <v>1112</v>
      </c>
      <c r="E7" s="862" t="s">
        <v>1113</v>
      </c>
      <c r="F7" s="928" t="s">
        <v>1114</v>
      </c>
      <c r="G7" s="928" t="s">
        <v>1115</v>
      </c>
    </row>
    <row r="8" spans="1:7">
      <c r="A8" s="862">
        <v>2</v>
      </c>
      <c r="B8" s="862" t="s">
        <v>1116</v>
      </c>
      <c r="C8" s="928" t="s">
        <v>1111</v>
      </c>
      <c r="D8" s="928" t="s">
        <v>1117</v>
      </c>
      <c r="E8" s="862" t="s">
        <v>1118</v>
      </c>
      <c r="F8" s="928" t="s">
        <v>1114</v>
      </c>
      <c r="G8" s="928" t="s">
        <v>1119</v>
      </c>
    </row>
    <row r="9" spans="1:7">
      <c r="A9" s="862">
        <v>3</v>
      </c>
      <c r="B9" s="862" t="s">
        <v>1120</v>
      </c>
      <c r="C9" s="929" t="s">
        <v>1121</v>
      </c>
      <c r="D9" s="929" t="s">
        <v>1122</v>
      </c>
      <c r="E9" s="862" t="s">
        <v>1123</v>
      </c>
      <c r="F9" s="928" t="s">
        <v>1114</v>
      </c>
      <c r="G9" s="862" t="s">
        <v>1124</v>
      </c>
    </row>
    <row r="10" spans="1:7">
      <c r="A10" s="862">
        <v>4</v>
      </c>
      <c r="B10" s="862" t="s">
        <v>1125</v>
      </c>
      <c r="C10" s="928" t="s">
        <v>1126</v>
      </c>
      <c r="D10" s="928" t="s">
        <v>1127</v>
      </c>
      <c r="E10" s="862" t="s">
        <v>1128</v>
      </c>
      <c r="F10" s="928" t="s">
        <v>1114</v>
      </c>
      <c r="G10" s="928" t="s">
        <v>1129</v>
      </c>
    </row>
    <row r="11" spans="1:7">
      <c r="A11" s="862">
        <v>5</v>
      </c>
      <c r="B11" s="862" t="s">
        <v>1130</v>
      </c>
      <c r="C11" s="928" t="s">
        <v>1131</v>
      </c>
      <c r="D11" s="928" t="s">
        <v>1132</v>
      </c>
      <c r="E11" s="862" t="s">
        <v>1133</v>
      </c>
      <c r="F11" s="928" t="s">
        <v>1114</v>
      </c>
      <c r="G11" s="928" t="s">
        <v>1134</v>
      </c>
    </row>
    <row r="12" spans="1:7">
      <c r="A12" s="862">
        <v>6</v>
      </c>
      <c r="B12" s="862" t="s">
        <v>1135</v>
      </c>
      <c r="C12" s="928" t="s">
        <v>1136</v>
      </c>
      <c r="D12" s="928" t="s">
        <v>1137</v>
      </c>
      <c r="E12" s="862" t="s">
        <v>1138</v>
      </c>
      <c r="F12" s="928" t="s">
        <v>1114</v>
      </c>
      <c r="G12" s="928" t="s">
        <v>1139</v>
      </c>
    </row>
    <row r="13" spans="1:7">
      <c r="A13" s="862">
        <v>7</v>
      </c>
      <c r="B13" s="862" t="s">
        <v>1140</v>
      </c>
      <c r="C13" s="930" t="s">
        <v>1141</v>
      </c>
      <c r="D13" s="930" t="s">
        <v>1142</v>
      </c>
      <c r="E13" s="862" t="s">
        <v>1143</v>
      </c>
      <c r="F13" s="930" t="s">
        <v>1144</v>
      </c>
      <c r="G13" s="928" t="s">
        <v>1145</v>
      </c>
    </row>
    <row r="14" spans="1:7">
      <c r="A14" s="862">
        <v>8</v>
      </c>
      <c r="B14" s="862" t="s">
        <v>1146</v>
      </c>
      <c r="C14" s="930" t="s">
        <v>1147</v>
      </c>
      <c r="D14" s="930" t="s">
        <v>1148</v>
      </c>
      <c r="E14" s="862" t="s">
        <v>1149</v>
      </c>
      <c r="F14" s="930" t="s">
        <v>1144</v>
      </c>
      <c r="G14" s="928" t="s">
        <v>1150</v>
      </c>
    </row>
    <row r="15" spans="1:7">
      <c r="A15" s="862">
        <v>9</v>
      </c>
      <c r="B15" s="862" t="s">
        <v>1151</v>
      </c>
      <c r="C15" s="928" t="s">
        <v>1152</v>
      </c>
      <c r="D15" s="928" t="s">
        <v>1153</v>
      </c>
      <c r="E15" s="862" t="s">
        <v>1154</v>
      </c>
      <c r="F15" s="930" t="s">
        <v>1144</v>
      </c>
      <c r="G15" s="928" t="s">
        <v>1155</v>
      </c>
    </row>
    <row r="16" spans="1:7">
      <c r="A16" s="862">
        <v>10</v>
      </c>
      <c r="B16" s="862" t="s">
        <v>1156</v>
      </c>
      <c r="C16" s="930" t="s">
        <v>1157</v>
      </c>
      <c r="D16" s="930" t="s">
        <v>1158</v>
      </c>
      <c r="E16" s="862" t="s">
        <v>1159</v>
      </c>
      <c r="F16" s="931" t="s">
        <v>1160</v>
      </c>
      <c r="G16" s="928" t="s">
        <v>1161</v>
      </c>
    </row>
    <row r="17" spans="1:9">
      <c r="A17" s="862">
        <v>11</v>
      </c>
      <c r="B17" s="862" t="s">
        <v>1162</v>
      </c>
      <c r="C17" s="930" t="s">
        <v>1163</v>
      </c>
      <c r="D17" s="930" t="s">
        <v>1164</v>
      </c>
      <c r="E17" s="862" t="s">
        <v>1165</v>
      </c>
      <c r="F17" s="930" t="s">
        <v>1144</v>
      </c>
      <c r="G17" s="928" t="s">
        <v>1166</v>
      </c>
    </row>
    <row r="20" spans="1:9" ht="17">
      <c r="A20" s="901" t="s">
        <v>1167</v>
      </c>
    </row>
    <row r="21" spans="1:9">
      <c r="A21" s="932" t="s">
        <v>1168</v>
      </c>
    </row>
    <row r="23" spans="1:9">
      <c r="A23" s="907" t="s">
        <v>358</v>
      </c>
      <c r="B23" s="907" t="s">
        <v>359</v>
      </c>
      <c r="C23" s="907" t="s">
        <v>1169</v>
      </c>
      <c r="D23" s="907" t="s">
        <v>1170</v>
      </c>
      <c r="E23" s="907" t="s">
        <v>1171</v>
      </c>
      <c r="F23" s="907" t="s">
        <v>1172</v>
      </c>
      <c r="G23" s="907" t="s">
        <v>1173</v>
      </c>
      <c r="H23" s="907" t="s">
        <v>1174</v>
      </c>
      <c r="I23" s="907" t="s">
        <v>1175</v>
      </c>
    </row>
    <row r="24" spans="1:9">
      <c r="A24" s="933" t="s">
        <v>361</v>
      </c>
      <c r="B24" s="819" t="s">
        <v>1176</v>
      </c>
      <c r="C24" s="819" t="s">
        <v>507</v>
      </c>
      <c r="D24" s="819" t="s">
        <v>1177</v>
      </c>
      <c r="E24" s="934" t="s">
        <v>1178</v>
      </c>
      <c r="F24" s="934" t="s">
        <v>1179</v>
      </c>
      <c r="G24" s="819" t="s">
        <v>1180</v>
      </c>
      <c r="H24" s="934" t="s">
        <v>1181</v>
      </c>
      <c r="I24" s="934" t="s">
        <v>1182</v>
      </c>
    </row>
    <row r="25" spans="1:9">
      <c r="A25" s="933" t="s">
        <v>362</v>
      </c>
      <c r="B25" s="819" t="s">
        <v>1183</v>
      </c>
      <c r="C25" s="819" t="s">
        <v>508</v>
      </c>
      <c r="D25" s="819" t="s">
        <v>1184</v>
      </c>
      <c r="E25" s="934" t="s">
        <v>1185</v>
      </c>
      <c r="F25" s="934" t="s">
        <v>1186</v>
      </c>
      <c r="G25" s="819" t="s">
        <v>1187</v>
      </c>
      <c r="H25" s="934" t="s">
        <v>1181</v>
      </c>
      <c r="I25" s="934" t="s">
        <v>1182</v>
      </c>
    </row>
    <row r="26" spans="1:9">
      <c r="A26" s="933" t="s">
        <v>363</v>
      </c>
      <c r="B26" s="935" t="s">
        <v>1188</v>
      </c>
      <c r="C26" s="819" t="s">
        <v>1189</v>
      </c>
      <c r="D26" s="819" t="s">
        <v>1190</v>
      </c>
      <c r="E26" s="847" t="s">
        <v>1191</v>
      </c>
      <c r="F26" s="847" t="s">
        <v>1192</v>
      </c>
      <c r="G26" s="847" t="s">
        <v>1193</v>
      </c>
      <c r="H26" s="935" t="s">
        <v>1194</v>
      </c>
      <c r="I26" s="847" t="s">
        <v>1195</v>
      </c>
    </row>
    <row r="27" spans="1:9">
      <c r="A27" s="933" t="s">
        <v>364</v>
      </c>
      <c r="B27" s="819" t="s">
        <v>1196</v>
      </c>
      <c r="C27" s="819" t="s">
        <v>758</v>
      </c>
      <c r="D27" s="819" t="s">
        <v>1197</v>
      </c>
      <c r="E27" s="934" t="s">
        <v>1198</v>
      </c>
      <c r="F27" s="847" t="s">
        <v>1199</v>
      </c>
      <c r="G27" s="819" t="s">
        <v>1187</v>
      </c>
      <c r="H27" s="935" t="s">
        <v>1194</v>
      </c>
      <c r="I27" s="819" t="s">
        <v>1200</v>
      </c>
    </row>
    <row r="28" spans="1:9">
      <c r="A28" s="933" t="s">
        <v>365</v>
      </c>
      <c r="B28" s="819" t="s">
        <v>1201</v>
      </c>
      <c r="C28" s="819" t="s">
        <v>740</v>
      </c>
      <c r="D28" s="819" t="s">
        <v>1202</v>
      </c>
      <c r="E28" s="935" t="s">
        <v>1203</v>
      </c>
      <c r="F28" s="847" t="s">
        <v>1204</v>
      </c>
      <c r="G28" s="847" t="s">
        <v>1205</v>
      </c>
      <c r="H28" s="935" t="s">
        <v>1194</v>
      </c>
      <c r="I28" s="819" t="s">
        <v>1206</v>
      </c>
    </row>
    <row r="29" spans="1:9">
      <c r="A29" s="933" t="s">
        <v>366</v>
      </c>
      <c r="B29" s="819" t="s">
        <v>1207</v>
      </c>
      <c r="C29" s="819" t="s">
        <v>1208</v>
      </c>
      <c r="D29" s="819" t="s">
        <v>1209</v>
      </c>
      <c r="E29" s="934" t="s">
        <v>1210</v>
      </c>
      <c r="F29" s="934" t="s">
        <v>1211</v>
      </c>
      <c r="G29" s="819" t="s">
        <v>1187</v>
      </c>
      <c r="H29" s="934" t="s">
        <v>1181</v>
      </c>
      <c r="I29" s="934" t="s">
        <v>1182</v>
      </c>
    </row>
    <row r="30" spans="1:9">
      <c r="A30" s="933" t="s">
        <v>367</v>
      </c>
      <c r="B30" s="819" t="s">
        <v>1212</v>
      </c>
      <c r="C30" s="819" t="s">
        <v>508</v>
      </c>
      <c r="D30" s="819" t="s">
        <v>1213</v>
      </c>
      <c r="E30" s="934" t="s">
        <v>1214</v>
      </c>
      <c r="F30" s="847" t="s">
        <v>1187</v>
      </c>
      <c r="G30" s="847" t="s">
        <v>1187</v>
      </c>
      <c r="H30" s="934" t="s">
        <v>1181</v>
      </c>
      <c r="I30" s="819" t="s">
        <v>1215</v>
      </c>
    </row>
    <row r="31" spans="1:9">
      <c r="A31" s="933" t="s">
        <v>1216</v>
      </c>
      <c r="B31" s="819" t="s">
        <v>1217</v>
      </c>
      <c r="C31" s="819" t="s">
        <v>1218</v>
      </c>
      <c r="D31" s="819" t="s">
        <v>1219</v>
      </c>
      <c r="E31" s="934" t="s">
        <v>1220</v>
      </c>
      <c r="F31" s="847" t="s">
        <v>1187</v>
      </c>
      <c r="G31" s="819" t="s">
        <v>1187</v>
      </c>
      <c r="H31" s="934" t="s">
        <v>1181</v>
      </c>
      <c r="I31" s="819" t="s">
        <v>1182</v>
      </c>
    </row>
    <row r="34" spans="1:9" ht="17">
      <c r="A34" s="901" t="s">
        <v>1221</v>
      </c>
    </row>
    <row r="35" spans="1:9">
      <c r="A35" s="859" t="s">
        <v>1222</v>
      </c>
      <c r="B35" s="859" t="s">
        <v>1223</v>
      </c>
      <c r="C35" s="859" t="s">
        <v>1224</v>
      </c>
      <c r="D35" s="859" t="s">
        <v>756</v>
      </c>
      <c r="E35" s="859" t="s">
        <v>1225</v>
      </c>
      <c r="F35" s="859" t="s">
        <v>1226</v>
      </c>
      <c r="G35" s="859" t="s">
        <v>1227</v>
      </c>
      <c r="H35" s="859" t="s">
        <v>533</v>
      </c>
    </row>
    <row r="36" spans="1:9" ht="112">
      <c r="A36" s="927" t="s">
        <v>1114</v>
      </c>
      <c r="B36" s="862" t="s">
        <v>1228</v>
      </c>
      <c r="C36" s="927" t="s">
        <v>1229</v>
      </c>
      <c r="D36" s="937" t="s">
        <v>1230</v>
      </c>
      <c r="E36" s="937" t="s">
        <v>1231</v>
      </c>
      <c r="F36" s="862" t="s">
        <v>1232</v>
      </c>
      <c r="G36" s="862" t="s">
        <v>1233</v>
      </c>
      <c r="H36" s="963" t="s">
        <v>535</v>
      </c>
    </row>
    <row r="37" spans="1:9" ht="98">
      <c r="A37" s="927" t="s">
        <v>1114</v>
      </c>
      <c r="B37" s="862" t="s">
        <v>1235</v>
      </c>
      <c r="C37" s="927" t="s">
        <v>1236</v>
      </c>
      <c r="D37" s="862" t="s">
        <v>508</v>
      </c>
      <c r="E37" s="937" t="s">
        <v>1237</v>
      </c>
      <c r="F37" s="862" t="s">
        <v>1238</v>
      </c>
      <c r="G37" s="862" t="s">
        <v>1239</v>
      </c>
      <c r="H37" s="963" t="s">
        <v>535</v>
      </c>
    </row>
    <row r="38" spans="1:9" ht="126">
      <c r="A38" s="927" t="s">
        <v>1114</v>
      </c>
      <c r="B38" s="862" t="s">
        <v>1240</v>
      </c>
      <c r="C38" s="927" t="s">
        <v>1241</v>
      </c>
      <c r="D38" s="862" t="s">
        <v>758</v>
      </c>
      <c r="E38" s="937" t="s">
        <v>1242</v>
      </c>
      <c r="F38" s="862" t="s">
        <v>1243</v>
      </c>
      <c r="G38" s="862" t="s">
        <v>1239</v>
      </c>
      <c r="H38" s="964" t="s">
        <v>1352</v>
      </c>
    </row>
    <row r="39" spans="1:9" ht="126">
      <c r="A39" s="927" t="s">
        <v>1114</v>
      </c>
      <c r="B39" s="862" t="s">
        <v>1244</v>
      </c>
      <c r="C39" s="927" t="s">
        <v>1245</v>
      </c>
      <c r="D39" s="862" t="s">
        <v>740</v>
      </c>
      <c r="E39" s="937" t="s">
        <v>1246</v>
      </c>
      <c r="F39" s="862" t="s">
        <v>1247</v>
      </c>
      <c r="G39" s="862" t="s">
        <v>1248</v>
      </c>
      <c r="H39" s="963" t="s">
        <v>535</v>
      </c>
    </row>
    <row r="40" spans="1:9" ht="84">
      <c r="A40" s="938" t="s">
        <v>1144</v>
      </c>
      <c r="B40" s="862" t="s">
        <v>1249</v>
      </c>
      <c r="C40" s="927" t="s">
        <v>1250</v>
      </c>
      <c r="D40" s="862" t="s">
        <v>739</v>
      </c>
      <c r="E40" s="937" t="s">
        <v>1251</v>
      </c>
      <c r="F40" s="862" t="s">
        <v>1252</v>
      </c>
      <c r="G40" s="862" t="s">
        <v>1253</v>
      </c>
      <c r="H40" s="963" t="s">
        <v>535</v>
      </c>
    </row>
    <row r="41" spans="1:9" ht="168">
      <c r="A41" s="938" t="s">
        <v>1144</v>
      </c>
      <c r="B41" s="862" t="s">
        <v>1254</v>
      </c>
      <c r="C41" s="927" t="s">
        <v>1255</v>
      </c>
      <c r="D41" s="862" t="s">
        <v>1256</v>
      </c>
      <c r="E41" s="937" t="s">
        <v>1257</v>
      </c>
      <c r="F41" s="862" t="s">
        <v>1258</v>
      </c>
      <c r="G41" s="862" t="s">
        <v>1259</v>
      </c>
      <c r="H41" s="862" t="s">
        <v>1234</v>
      </c>
    </row>
    <row r="42" spans="1:9" ht="70">
      <c r="A42" s="939" t="s">
        <v>1160</v>
      </c>
      <c r="B42" s="862" t="s">
        <v>1260</v>
      </c>
      <c r="C42" s="927" t="s">
        <v>1261</v>
      </c>
      <c r="D42" s="937" t="s">
        <v>1262</v>
      </c>
      <c r="E42" s="937" t="s">
        <v>1263</v>
      </c>
      <c r="F42" s="862" t="s">
        <v>1264</v>
      </c>
      <c r="G42" s="862" t="s">
        <v>1265</v>
      </c>
      <c r="H42" s="963" t="s">
        <v>535</v>
      </c>
    </row>
    <row r="45" spans="1:9" ht="17">
      <c r="A45" s="901" t="s">
        <v>1266</v>
      </c>
    </row>
    <row r="46" spans="1:9">
      <c r="A46" s="933" t="s">
        <v>1267</v>
      </c>
      <c r="C46" s="934" t="s">
        <v>1268</v>
      </c>
      <c r="F46" s="940" t="s">
        <v>1269</v>
      </c>
    </row>
    <row r="47" spans="1:9" ht="15">
      <c r="A47" s="942" t="s">
        <v>507</v>
      </c>
      <c r="B47" s="943" t="s">
        <v>1270</v>
      </c>
      <c r="C47" s="945" t="s">
        <v>508</v>
      </c>
      <c r="D47" s="943" t="s">
        <v>1270</v>
      </c>
      <c r="E47" s="946" t="s">
        <v>509</v>
      </c>
      <c r="G47" s="946" t="s">
        <v>1271</v>
      </c>
      <c r="I47" s="946" t="s">
        <v>1208</v>
      </c>
    </row>
    <row r="48" spans="1:9">
      <c r="A48" s="850" t="s">
        <v>1272</v>
      </c>
      <c r="C48" s="850" t="s">
        <v>1273</v>
      </c>
      <c r="E48" s="850" t="s">
        <v>1274</v>
      </c>
      <c r="G48" s="850" t="s">
        <v>1275</v>
      </c>
      <c r="I48" s="850" t="s">
        <v>1276</v>
      </c>
    </row>
    <row r="50" spans="1:7" ht="15">
      <c r="A50" s="942" t="s">
        <v>325</v>
      </c>
      <c r="B50" s="943" t="s">
        <v>1270</v>
      </c>
      <c r="C50" s="947" t="s">
        <v>1189</v>
      </c>
      <c r="D50" s="948" t="s">
        <v>1277</v>
      </c>
      <c r="E50" s="949" t="s">
        <v>1278</v>
      </c>
      <c r="G50" s="946" t="s">
        <v>740</v>
      </c>
    </row>
    <row r="51" spans="1:7">
      <c r="A51" s="850" t="s">
        <v>1279</v>
      </c>
      <c r="C51" s="950" t="s">
        <v>1280</v>
      </c>
      <c r="E51" s="850" t="s">
        <v>1281</v>
      </c>
      <c r="G51" s="850" t="s">
        <v>1282</v>
      </c>
    </row>
    <row r="53" spans="1:7" ht="15">
      <c r="A53" s="942" t="s">
        <v>1218</v>
      </c>
      <c r="B53" s="943" t="s">
        <v>1270</v>
      </c>
      <c r="C53" s="945" t="s">
        <v>1283</v>
      </c>
    </row>
    <row r="54" spans="1:7" ht="15">
      <c r="A54" s="942" t="s">
        <v>1284</v>
      </c>
      <c r="B54" s="943" t="s">
        <v>1270</v>
      </c>
      <c r="C54" s="945" t="s">
        <v>1285</v>
      </c>
    </row>
    <row r="57" spans="1:7" ht="17">
      <c r="A57" s="901" t="s">
        <v>1286</v>
      </c>
    </row>
    <row r="58" spans="1:7">
      <c r="A58" s="932" t="s">
        <v>1287</v>
      </c>
    </row>
    <row r="60" spans="1:7">
      <c r="A60" s="813" t="s">
        <v>358</v>
      </c>
      <c r="B60" s="813" t="s">
        <v>1288</v>
      </c>
      <c r="C60" s="813" t="s">
        <v>1289</v>
      </c>
      <c r="D60" s="813" t="s">
        <v>1290</v>
      </c>
      <c r="E60" s="813" t="s">
        <v>1291</v>
      </c>
    </row>
    <row r="61" spans="1:7">
      <c r="A61" s="813">
        <v>1</v>
      </c>
      <c r="B61" s="941" t="s">
        <v>1292</v>
      </c>
      <c r="C61" s="862" t="s">
        <v>507</v>
      </c>
      <c r="D61" s="863" t="s">
        <v>1293</v>
      </c>
      <c r="E61" s="951" t="s">
        <v>1294</v>
      </c>
    </row>
    <row r="62" spans="1:7">
      <c r="A62" s="813">
        <v>2</v>
      </c>
      <c r="B62" s="941" t="s">
        <v>1295</v>
      </c>
      <c r="C62" s="862" t="s">
        <v>1296</v>
      </c>
      <c r="D62" s="863" t="s">
        <v>1297</v>
      </c>
      <c r="E62" s="951" t="s">
        <v>1298</v>
      </c>
    </row>
    <row r="63" spans="1:7">
      <c r="A63" s="813">
        <v>3</v>
      </c>
      <c r="B63" s="941" t="s">
        <v>1299</v>
      </c>
      <c r="C63" s="862" t="s">
        <v>739</v>
      </c>
      <c r="D63" s="863" t="s">
        <v>1300</v>
      </c>
      <c r="E63" s="951" t="s">
        <v>1301</v>
      </c>
    </row>
    <row r="64" spans="1:7">
      <c r="A64" s="813">
        <v>4</v>
      </c>
      <c r="B64" s="941" t="s">
        <v>1302</v>
      </c>
      <c r="C64" s="862" t="s">
        <v>1303</v>
      </c>
      <c r="D64" s="863" t="s">
        <v>1304</v>
      </c>
      <c r="E64" s="951" t="s">
        <v>1305</v>
      </c>
    </row>
    <row r="65" spans="1:5" ht="168">
      <c r="A65" s="813">
        <v>5</v>
      </c>
      <c r="B65" s="935" t="s">
        <v>1306</v>
      </c>
      <c r="C65" s="862" t="s">
        <v>1303</v>
      </c>
      <c r="D65" s="952" t="s">
        <v>1307</v>
      </c>
      <c r="E65" s="953" t="s">
        <v>1308</v>
      </c>
    </row>
    <row r="66" spans="1:5" ht="112">
      <c r="A66" s="813">
        <v>6</v>
      </c>
      <c r="B66" s="935" t="s">
        <v>1309</v>
      </c>
      <c r="C66" s="862" t="s">
        <v>1296</v>
      </c>
      <c r="D66" s="952" t="s">
        <v>1310</v>
      </c>
      <c r="E66" s="951" t="s">
        <v>1311</v>
      </c>
    </row>
    <row r="67" spans="1:5" ht="112">
      <c r="A67" s="813">
        <v>7</v>
      </c>
      <c r="B67" s="941" t="s">
        <v>1312</v>
      </c>
      <c r="C67" s="862" t="s">
        <v>1313</v>
      </c>
      <c r="D67" s="952" t="s">
        <v>1314</v>
      </c>
      <c r="E67" s="951" t="s">
        <v>1315</v>
      </c>
    </row>
    <row r="68" spans="1:5" ht="56">
      <c r="A68" s="813">
        <v>8</v>
      </c>
      <c r="B68" s="941" t="s">
        <v>1316</v>
      </c>
      <c r="C68" s="862" t="s">
        <v>1296</v>
      </c>
      <c r="D68" s="952" t="s">
        <v>1317</v>
      </c>
      <c r="E68" s="951" t="s">
        <v>1318</v>
      </c>
    </row>
    <row r="69" spans="1:5" ht="70">
      <c r="A69" s="813">
        <v>9</v>
      </c>
      <c r="B69" s="941" t="s">
        <v>1319</v>
      </c>
      <c r="C69" s="862" t="s">
        <v>1320</v>
      </c>
      <c r="D69" s="952" t="s">
        <v>1321</v>
      </c>
      <c r="E69" s="951" t="s">
        <v>1322</v>
      </c>
    </row>
    <row r="70" spans="1:5" ht="28">
      <c r="A70" s="813">
        <v>10</v>
      </c>
      <c r="B70" s="941" t="s">
        <v>1323</v>
      </c>
      <c r="C70" s="862" t="s">
        <v>740</v>
      </c>
      <c r="D70" s="952" t="s">
        <v>1324</v>
      </c>
      <c r="E70" s="951" t="s">
        <v>1325</v>
      </c>
    </row>
    <row r="71" spans="1:5" ht="56">
      <c r="A71" s="813">
        <v>11</v>
      </c>
      <c r="B71" s="941" t="s">
        <v>1217</v>
      </c>
      <c r="C71" s="862" t="s">
        <v>1218</v>
      </c>
      <c r="D71" s="952" t="s">
        <v>1326</v>
      </c>
      <c r="E71" s="951" t="s">
        <v>1327</v>
      </c>
    </row>
    <row r="74" spans="1:5" ht="17">
      <c r="A74" s="901" t="s">
        <v>1328</v>
      </c>
    </row>
    <row r="75" spans="1:5">
      <c r="A75" s="900" t="s">
        <v>371</v>
      </c>
      <c r="B75" s="900" t="s">
        <v>1223</v>
      </c>
      <c r="C75" s="954" t="s">
        <v>337</v>
      </c>
      <c r="D75" s="954" t="s">
        <v>1329</v>
      </c>
      <c r="E75" t="s">
        <v>533</v>
      </c>
    </row>
    <row r="76" spans="1:5">
      <c r="A76" s="944" t="s">
        <v>1330</v>
      </c>
      <c r="B76" s="819" t="s">
        <v>1331</v>
      </c>
      <c r="C76" s="819" t="s">
        <v>1332</v>
      </c>
      <c r="D76" s="819" t="s">
        <v>1333</v>
      </c>
      <c r="E76" s="965" t="s">
        <v>1353</v>
      </c>
    </row>
    <row r="77" spans="1:5">
      <c r="A77" s="944" t="s">
        <v>1334</v>
      </c>
      <c r="B77" s="819" t="s">
        <v>1335</v>
      </c>
      <c r="C77" s="819" t="s">
        <v>1336</v>
      </c>
      <c r="D77" s="819" t="s">
        <v>1337</v>
      </c>
      <c r="E77" s="965" t="s">
        <v>1354</v>
      </c>
    </row>
    <row r="78" spans="1:5">
      <c r="A78" s="944" t="s">
        <v>1338</v>
      </c>
      <c r="B78" s="819" t="s">
        <v>1244</v>
      </c>
      <c r="C78" s="819" t="s">
        <v>1339</v>
      </c>
      <c r="D78" s="819" t="s">
        <v>1340</v>
      </c>
      <c r="E78" s="965" t="s">
        <v>1355</v>
      </c>
    </row>
    <row r="79" spans="1:5">
      <c r="A79" s="944" t="s">
        <v>1341</v>
      </c>
      <c r="B79" s="819" t="s">
        <v>1342</v>
      </c>
      <c r="C79" s="819" t="s">
        <v>1343</v>
      </c>
      <c r="D79" s="819" t="s">
        <v>1344</v>
      </c>
      <c r="E79" s="966" t="s">
        <v>1356</v>
      </c>
    </row>
    <row r="81" spans="1:5" ht="15">
      <c r="A81" s="967" t="s">
        <v>1357</v>
      </c>
    </row>
    <row r="83" spans="1:5">
      <c r="A83" s="286" t="s">
        <v>1358</v>
      </c>
      <c r="B83" s="286" t="s">
        <v>756</v>
      </c>
      <c r="C83" s="286" t="s">
        <v>1359</v>
      </c>
      <c r="D83" s="286" t="s">
        <v>1360</v>
      </c>
      <c r="E83" s="286" t="s">
        <v>1226</v>
      </c>
    </row>
    <row r="84" spans="1:5">
      <c r="A84" t="s">
        <v>1361</v>
      </c>
      <c r="B84" t="s">
        <v>325</v>
      </c>
      <c r="C84" t="s">
        <v>1362</v>
      </c>
      <c r="D84" t="s">
        <v>1363</v>
      </c>
      <c r="E84" t="s">
        <v>1364</v>
      </c>
    </row>
    <row r="85" spans="1:5">
      <c r="A85" t="s">
        <v>1365</v>
      </c>
      <c r="B85" t="s">
        <v>508</v>
      </c>
      <c r="C85" t="s">
        <v>1366</v>
      </c>
      <c r="D85" t="s">
        <v>1367</v>
      </c>
      <c r="E85" t="s">
        <v>1368</v>
      </c>
    </row>
    <row r="86" spans="1:5">
      <c r="A86" t="s">
        <v>1369</v>
      </c>
      <c r="B86" t="s">
        <v>1370</v>
      </c>
      <c r="C86" t="s">
        <v>1371</v>
      </c>
      <c r="D86" t="s">
        <v>1372</v>
      </c>
      <c r="E86" t="s">
        <v>1373</v>
      </c>
    </row>
    <row r="87" spans="1:5">
      <c r="A87" t="s">
        <v>1374</v>
      </c>
      <c r="B87" t="s">
        <v>1370</v>
      </c>
      <c r="C87" t="s">
        <v>1375</v>
      </c>
      <c r="D87" t="s">
        <v>1376</v>
      </c>
      <c r="E87" t="s">
        <v>1377</v>
      </c>
    </row>
    <row r="88" spans="1:5">
      <c r="A88" t="s">
        <v>1378</v>
      </c>
      <c r="B88" t="s">
        <v>740</v>
      </c>
      <c r="C88" t="s">
        <v>1379</v>
      </c>
      <c r="D88" t="s">
        <v>1380</v>
      </c>
      <c r="E88" t="s">
        <v>1381</v>
      </c>
    </row>
    <row r="89" spans="1:5">
      <c r="A89" t="s">
        <v>1382</v>
      </c>
      <c r="B89" t="s">
        <v>1383</v>
      </c>
      <c r="C89" t="s">
        <v>1384</v>
      </c>
      <c r="D89" t="s">
        <v>1385</v>
      </c>
      <c r="E89" t="s">
        <v>1386</v>
      </c>
    </row>
    <row r="90" spans="1:5">
      <c r="A90" t="s">
        <v>1387</v>
      </c>
      <c r="B90" t="s">
        <v>739</v>
      </c>
      <c r="C90" t="s">
        <v>1388</v>
      </c>
      <c r="D90" t="s">
        <v>1389</v>
      </c>
      <c r="E90" t="s">
        <v>1390</v>
      </c>
    </row>
    <row r="91" spans="1:5">
      <c r="A91" t="s">
        <v>1391</v>
      </c>
      <c r="B91" t="s">
        <v>740</v>
      </c>
      <c r="C91" t="s">
        <v>1392</v>
      </c>
      <c r="D91" t="s">
        <v>1393</v>
      </c>
      <c r="E91" t="s">
        <v>1394</v>
      </c>
    </row>
    <row r="93" spans="1:5" ht="15">
      <c r="A93" s="968" t="s">
        <v>1395</v>
      </c>
    </row>
    <row r="95" spans="1:5">
      <c r="A95" t="s">
        <v>1396</v>
      </c>
    </row>
    <row r="96" spans="1:5">
      <c r="A96" t="s">
        <v>1397</v>
      </c>
    </row>
    <row r="97" spans="1:1">
      <c r="A97" t="s">
        <v>1398</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1403</v>
      </c>
    </row>
    <row r="2" spans="1:11">
      <c r="A2" s="969" t="s">
        <v>1404</v>
      </c>
    </row>
    <row r="4" spans="1:11" ht="16">
      <c r="A4" s="289" t="s">
        <v>1405</v>
      </c>
    </row>
    <row r="6" spans="1:11">
      <c r="A6" s="286" t="s">
        <v>1406</v>
      </c>
      <c r="C6" s="286" t="s">
        <v>337</v>
      </c>
      <c r="G6" s="286" t="s">
        <v>1329</v>
      </c>
    </row>
    <row r="7" spans="1:11">
      <c r="A7" t="s">
        <v>1407</v>
      </c>
      <c r="C7" t="s">
        <v>1408</v>
      </c>
      <c r="G7" t="s">
        <v>1409</v>
      </c>
    </row>
    <row r="8" spans="1:11">
      <c r="A8" t="s">
        <v>1410</v>
      </c>
      <c r="C8" t="s">
        <v>1411</v>
      </c>
      <c r="G8" t="s">
        <v>1412</v>
      </c>
    </row>
    <row r="10" spans="1:11" ht="16">
      <c r="A10" s="289" t="s">
        <v>1413</v>
      </c>
    </row>
    <row r="12" spans="1:11">
      <c r="A12" s="970" t="s">
        <v>1414</v>
      </c>
      <c r="B12" s="291" t="s">
        <v>1415</v>
      </c>
      <c r="C12" s="291" t="s">
        <v>1105</v>
      </c>
      <c r="F12" s="291" t="s">
        <v>1416</v>
      </c>
      <c r="I12" s="291" t="s">
        <v>1107</v>
      </c>
      <c r="K12" s="291" t="s">
        <v>1222</v>
      </c>
    </row>
    <row r="13" spans="1:11">
      <c r="A13" s="971">
        <v>1</v>
      </c>
      <c r="B13" t="s">
        <v>1417</v>
      </c>
      <c r="C13" t="s">
        <v>1418</v>
      </c>
      <c r="F13" t="s">
        <v>1419</v>
      </c>
      <c r="I13" t="s">
        <v>1420</v>
      </c>
      <c r="K13" s="972" t="s">
        <v>1114</v>
      </c>
    </row>
    <row r="14" spans="1:11">
      <c r="A14" s="971">
        <v>2</v>
      </c>
      <c r="B14" t="s">
        <v>1421</v>
      </c>
      <c r="C14" t="s">
        <v>1422</v>
      </c>
      <c r="F14" t="s">
        <v>1423</v>
      </c>
      <c r="I14" t="s">
        <v>1424</v>
      </c>
      <c r="K14" s="972" t="s">
        <v>1114</v>
      </c>
    </row>
    <row r="15" spans="1:11">
      <c r="A15" s="971">
        <v>3</v>
      </c>
      <c r="B15" t="s">
        <v>1425</v>
      </c>
      <c r="C15" t="s">
        <v>1426</v>
      </c>
      <c r="F15" t="s">
        <v>1427</v>
      </c>
      <c r="I15" t="s">
        <v>325</v>
      </c>
      <c r="K15" s="973" t="s">
        <v>1144</v>
      </c>
    </row>
    <row r="16" spans="1:11">
      <c r="A16" s="971">
        <v>4</v>
      </c>
      <c r="B16" t="s">
        <v>1428</v>
      </c>
      <c r="C16" t="s">
        <v>1429</v>
      </c>
      <c r="F16" t="s">
        <v>1430</v>
      </c>
      <c r="I16" t="s">
        <v>1431</v>
      </c>
      <c r="K16" s="973" t="s">
        <v>1144</v>
      </c>
    </row>
    <row r="17" spans="1:11">
      <c r="A17" s="971">
        <v>5</v>
      </c>
      <c r="B17" t="s">
        <v>1432</v>
      </c>
      <c r="C17" t="s">
        <v>1433</v>
      </c>
      <c r="F17" t="s">
        <v>1434</v>
      </c>
      <c r="I17" t="s">
        <v>1435</v>
      </c>
      <c r="K17" s="973" t="s">
        <v>1144</v>
      </c>
    </row>
    <row r="18" spans="1:11">
      <c r="A18" s="971">
        <v>6</v>
      </c>
      <c r="B18" t="s">
        <v>1436</v>
      </c>
      <c r="C18" t="s">
        <v>1437</v>
      </c>
      <c r="F18" t="s">
        <v>1438</v>
      </c>
      <c r="I18" t="s">
        <v>1439</v>
      </c>
      <c r="K18" s="972" t="s">
        <v>1114</v>
      </c>
    </row>
    <row r="20" spans="1:11" ht="16">
      <c r="A20" s="289" t="s">
        <v>1440</v>
      </c>
    </row>
    <row r="22" spans="1:11">
      <c r="A22" s="286" t="s">
        <v>547</v>
      </c>
      <c r="B22" s="286" t="s">
        <v>322</v>
      </c>
      <c r="C22" s="286" t="s">
        <v>323</v>
      </c>
      <c r="F22" s="286" t="s">
        <v>1441</v>
      </c>
      <c r="I22" s="286" t="s">
        <v>1105</v>
      </c>
      <c r="K22" s="286" t="s">
        <v>1442</v>
      </c>
    </row>
    <row r="23" spans="1:11">
      <c r="A23" t="s">
        <v>1443</v>
      </c>
      <c r="B23" t="s">
        <v>723</v>
      </c>
      <c r="C23" t="s">
        <v>1444</v>
      </c>
      <c r="F23" t="s">
        <v>1445</v>
      </c>
      <c r="I23" t="s">
        <v>1446</v>
      </c>
      <c r="K23" t="s">
        <v>1447</v>
      </c>
    </row>
    <row r="24" spans="1:11">
      <c r="A24" t="s">
        <v>1443</v>
      </c>
      <c r="B24" t="s">
        <v>507</v>
      </c>
      <c r="C24" t="s">
        <v>1448</v>
      </c>
      <c r="F24" t="s">
        <v>1449</v>
      </c>
      <c r="I24" t="s">
        <v>1450</v>
      </c>
      <c r="K24" t="s">
        <v>1451</v>
      </c>
    </row>
    <row r="25" spans="1:11">
      <c r="A25" t="s">
        <v>1443</v>
      </c>
      <c r="B25" t="s">
        <v>325</v>
      </c>
      <c r="C25" t="s">
        <v>1452</v>
      </c>
      <c r="F25" t="s">
        <v>1453</v>
      </c>
      <c r="I25" t="s">
        <v>1454</v>
      </c>
      <c r="K25" t="s">
        <v>1455</v>
      </c>
    </row>
    <row r="26" spans="1:11">
      <c r="A26" t="s">
        <v>1443</v>
      </c>
      <c r="B26" t="s">
        <v>1284</v>
      </c>
      <c r="C26" t="s">
        <v>1456</v>
      </c>
      <c r="F26" t="s">
        <v>1457</v>
      </c>
      <c r="I26" t="s">
        <v>1458</v>
      </c>
      <c r="K26" t="s">
        <v>1459</v>
      </c>
    </row>
    <row r="27" spans="1:11">
      <c r="A27" t="s">
        <v>1443</v>
      </c>
      <c r="B27" t="s">
        <v>1218</v>
      </c>
      <c r="C27" t="s">
        <v>1460</v>
      </c>
      <c r="F27" t="s">
        <v>1461</v>
      </c>
      <c r="I27" t="s">
        <v>1462</v>
      </c>
      <c r="K27" t="s">
        <v>1463</v>
      </c>
    </row>
    <row r="28" spans="1:11">
      <c r="A28" t="s">
        <v>1464</v>
      </c>
      <c r="B28" t="s">
        <v>508</v>
      </c>
      <c r="C28" t="s">
        <v>1465</v>
      </c>
      <c r="F28" t="s">
        <v>1466</v>
      </c>
      <c r="I28" t="s">
        <v>1467</v>
      </c>
      <c r="K28" t="s">
        <v>1468</v>
      </c>
    </row>
    <row r="29" spans="1:11">
      <c r="A29" t="s">
        <v>1464</v>
      </c>
      <c r="B29" t="s">
        <v>1189</v>
      </c>
      <c r="C29" t="s">
        <v>1469</v>
      </c>
      <c r="F29" t="s">
        <v>1470</v>
      </c>
      <c r="I29" t="s">
        <v>1471</v>
      </c>
      <c r="K29" t="s">
        <v>1472</v>
      </c>
    </row>
    <row r="30" spans="1:11">
      <c r="A30" t="s">
        <v>1473</v>
      </c>
      <c r="B30" t="s">
        <v>1474</v>
      </c>
      <c r="C30" t="s">
        <v>1475</v>
      </c>
      <c r="F30" t="s">
        <v>1476</v>
      </c>
      <c r="I30" t="s">
        <v>1477</v>
      </c>
      <c r="K30" t="s">
        <v>1478</v>
      </c>
    </row>
    <row r="31" spans="1:11">
      <c r="A31" t="s">
        <v>1473</v>
      </c>
      <c r="B31" t="s">
        <v>740</v>
      </c>
      <c r="C31" t="s">
        <v>1479</v>
      </c>
      <c r="F31" t="s">
        <v>1480</v>
      </c>
      <c r="I31" t="s">
        <v>1481</v>
      </c>
      <c r="K31" t="s">
        <v>1482</v>
      </c>
    </row>
    <row r="32" spans="1:11">
      <c r="A32" t="s">
        <v>1473</v>
      </c>
      <c r="B32" t="s">
        <v>1483</v>
      </c>
      <c r="C32" t="s">
        <v>1484</v>
      </c>
      <c r="F32" t="s">
        <v>1485</v>
      </c>
      <c r="I32" t="s">
        <v>1486</v>
      </c>
      <c r="K32" s="297" t="s">
        <v>1487</v>
      </c>
    </row>
    <row r="33" spans="1:11">
      <c r="A33" t="s">
        <v>1473</v>
      </c>
      <c r="B33" t="s">
        <v>1488</v>
      </c>
      <c r="C33" t="s">
        <v>1489</v>
      </c>
      <c r="F33" t="s">
        <v>1490</v>
      </c>
      <c r="I33" t="s">
        <v>1486</v>
      </c>
      <c r="K33" s="297" t="s">
        <v>1487</v>
      </c>
    </row>
    <row r="34" spans="1:11">
      <c r="A34" t="s">
        <v>1473</v>
      </c>
      <c r="B34" t="s">
        <v>1208</v>
      </c>
      <c r="C34" t="s">
        <v>1491</v>
      </c>
      <c r="F34" t="s">
        <v>1492</v>
      </c>
      <c r="I34" t="s">
        <v>1493</v>
      </c>
      <c r="K34" t="s">
        <v>1482</v>
      </c>
    </row>
    <row r="35" spans="1:11">
      <c r="A35" t="s">
        <v>1494</v>
      </c>
      <c r="B35" t="s">
        <v>509</v>
      </c>
      <c r="C35" t="s">
        <v>1495</v>
      </c>
      <c r="F35" t="s">
        <v>1496</v>
      </c>
      <c r="I35" t="s">
        <v>1497</v>
      </c>
      <c r="K35" t="s">
        <v>1498</v>
      </c>
    </row>
    <row r="36" spans="1:11">
      <c r="A36" t="s">
        <v>1494</v>
      </c>
      <c r="B36" t="s">
        <v>1499</v>
      </c>
      <c r="C36" t="s">
        <v>1500</v>
      </c>
      <c r="F36" t="s">
        <v>1501</v>
      </c>
      <c r="I36" t="s">
        <v>1502</v>
      </c>
      <c r="K36" t="s">
        <v>1501</v>
      </c>
    </row>
    <row r="37" spans="1:11">
      <c r="A37" t="s">
        <v>1503</v>
      </c>
      <c r="B37" t="s">
        <v>1504</v>
      </c>
      <c r="C37" t="s">
        <v>1505</v>
      </c>
      <c r="F37" t="s">
        <v>1506</v>
      </c>
      <c r="I37" t="s">
        <v>1507</v>
      </c>
      <c r="K37" t="s">
        <v>1508</v>
      </c>
    </row>
    <row r="38" spans="1:11">
      <c r="A38" t="s">
        <v>1503</v>
      </c>
      <c r="B38" t="s">
        <v>1509</v>
      </c>
      <c r="C38" t="s">
        <v>1510</v>
      </c>
      <c r="F38" t="s">
        <v>1511</v>
      </c>
      <c r="I38" t="s">
        <v>1512</v>
      </c>
      <c r="K38" t="s">
        <v>1513</v>
      </c>
    </row>
    <row r="40" spans="1:11" ht="16">
      <c r="A40" s="289" t="s">
        <v>1514</v>
      </c>
    </row>
    <row r="42" spans="1:11">
      <c r="A42" s="299" t="s">
        <v>1515</v>
      </c>
    </row>
    <row r="43" spans="1:11">
      <c r="A43" t="s">
        <v>852</v>
      </c>
      <c r="B43" t="s">
        <v>1270</v>
      </c>
      <c r="C43" t="s">
        <v>1516</v>
      </c>
      <c r="E43" t="s">
        <v>1270</v>
      </c>
      <c r="F43" t="s">
        <v>1517</v>
      </c>
    </row>
    <row r="44" spans="1:11">
      <c r="C44" t="s">
        <v>1518</v>
      </c>
    </row>
    <row r="45" spans="1:11">
      <c r="C45" t="s">
        <v>1519</v>
      </c>
      <c r="E45" t="s">
        <v>1270</v>
      </c>
      <c r="F45" t="s">
        <v>1520</v>
      </c>
    </row>
    <row r="46" spans="1:11">
      <c r="C46" t="s">
        <v>1518</v>
      </c>
      <c r="F46" t="s">
        <v>1518</v>
      </c>
    </row>
    <row r="47" spans="1:11">
      <c r="C47" t="s">
        <v>1521</v>
      </c>
      <c r="E47" t="s">
        <v>1270</v>
      </c>
      <c r="F47" t="s">
        <v>1522</v>
      </c>
    </row>
    <row r="48" spans="1:11">
      <c r="C48" t="s">
        <v>1518</v>
      </c>
    </row>
    <row r="49" spans="1:10">
      <c r="C49" t="s">
        <v>1523</v>
      </c>
      <c r="E49" t="s">
        <v>1270</v>
      </c>
      <c r="F49" t="s">
        <v>1524</v>
      </c>
    </row>
    <row r="51" spans="1:10">
      <c r="A51" s="974" t="s">
        <v>1525</v>
      </c>
    </row>
    <row r="52" spans="1:10">
      <c r="A52" t="s">
        <v>1526</v>
      </c>
      <c r="B52" t="s">
        <v>1270</v>
      </c>
      <c r="C52" t="s">
        <v>1527</v>
      </c>
      <c r="E52" t="s">
        <v>1270</v>
      </c>
      <c r="F52" t="s">
        <v>1528</v>
      </c>
    </row>
    <row r="53" spans="1:10">
      <c r="C53" t="s">
        <v>1518</v>
      </c>
    </row>
    <row r="54" spans="1:10">
      <c r="C54" t="s">
        <v>1529</v>
      </c>
      <c r="E54" t="s">
        <v>1270</v>
      </c>
      <c r="F54" t="s">
        <v>1530</v>
      </c>
    </row>
    <row r="56" spans="1:10">
      <c r="A56" s="975" t="s">
        <v>1531</v>
      </c>
    </row>
    <row r="57" spans="1:10">
      <c r="A57" t="s">
        <v>1532</v>
      </c>
      <c r="B57" t="s">
        <v>1270</v>
      </c>
      <c r="C57" t="s">
        <v>1533</v>
      </c>
      <c r="E57" t="s">
        <v>1270</v>
      </c>
      <c r="F57" t="s">
        <v>1534</v>
      </c>
    </row>
    <row r="58" spans="1:10">
      <c r="C58" t="s">
        <v>1518</v>
      </c>
    </row>
    <row r="59" spans="1:10">
      <c r="C59" t="s">
        <v>1535</v>
      </c>
      <c r="E59" t="s">
        <v>1270</v>
      </c>
      <c r="F59" t="s">
        <v>1536</v>
      </c>
    </row>
    <row r="61" spans="1:10" ht="16">
      <c r="A61" s="289" t="s">
        <v>1537</v>
      </c>
    </row>
    <row r="63" spans="1:10">
      <c r="A63" s="293" t="s">
        <v>371</v>
      </c>
      <c r="B63" s="286" t="s">
        <v>337</v>
      </c>
      <c r="C63" s="286" t="s">
        <v>1538</v>
      </c>
      <c r="G63" s="286" t="s">
        <v>1539</v>
      </c>
      <c r="I63" s="286" t="s">
        <v>1540</v>
      </c>
      <c r="J63" s="286" t="s">
        <v>533</v>
      </c>
    </row>
    <row r="64" spans="1:10" ht="120">
      <c r="A64" s="976">
        <v>1</v>
      </c>
      <c r="B64" t="s">
        <v>1541</v>
      </c>
      <c r="C64" s="936" t="s">
        <v>1542</v>
      </c>
      <c r="G64" t="s">
        <v>1543</v>
      </c>
      <c r="I64" t="s">
        <v>1544</v>
      </c>
      <c r="J64" t="s">
        <v>1353</v>
      </c>
    </row>
    <row r="65" spans="1:10" ht="150">
      <c r="A65" s="977">
        <v>2</v>
      </c>
      <c r="B65" t="s">
        <v>1545</v>
      </c>
      <c r="C65" s="936" t="s">
        <v>1546</v>
      </c>
      <c r="G65" t="s">
        <v>1547</v>
      </c>
      <c r="I65" t="s">
        <v>1548</v>
      </c>
      <c r="J65" t="s">
        <v>1353</v>
      </c>
    </row>
    <row r="66" spans="1:10" ht="120">
      <c r="A66" s="977">
        <v>3</v>
      </c>
      <c r="B66" t="s">
        <v>1549</v>
      </c>
      <c r="C66" s="936" t="s">
        <v>1550</v>
      </c>
      <c r="G66" t="s">
        <v>1551</v>
      </c>
      <c r="I66" t="s">
        <v>1548</v>
      </c>
      <c r="J66" t="s">
        <v>1353</v>
      </c>
    </row>
    <row r="67" spans="1:10" ht="90">
      <c r="A67" s="293">
        <v>4</v>
      </c>
      <c r="B67" t="s">
        <v>1552</v>
      </c>
      <c r="C67" s="936" t="s">
        <v>1553</v>
      </c>
      <c r="G67" t="s">
        <v>1554</v>
      </c>
      <c r="I67" t="s">
        <v>1544</v>
      </c>
      <c r="J67" t="s">
        <v>1353</v>
      </c>
    </row>
    <row r="68" spans="1:10" ht="105">
      <c r="A68" s="293">
        <v>5</v>
      </c>
      <c r="B68" t="s">
        <v>1468</v>
      </c>
      <c r="C68" s="936" t="s">
        <v>1555</v>
      </c>
      <c r="G68" t="s">
        <v>1556</v>
      </c>
      <c r="I68" t="s">
        <v>1557</v>
      </c>
      <c r="J68" t="s">
        <v>1234</v>
      </c>
    </row>
    <row r="69" spans="1:10" ht="75">
      <c r="A69" s="978">
        <v>6</v>
      </c>
      <c r="B69" t="s">
        <v>1558</v>
      </c>
      <c r="C69" s="936" t="s">
        <v>1559</v>
      </c>
      <c r="G69" t="s">
        <v>1560</v>
      </c>
      <c r="I69" t="s">
        <v>1544</v>
      </c>
      <c r="J69" t="s">
        <v>1234</v>
      </c>
    </row>
    <row r="71" spans="1:10" ht="16">
      <c r="A71" s="289" t="s">
        <v>1561</v>
      </c>
    </row>
    <row r="73" spans="1:10">
      <c r="A73" s="299" t="s">
        <v>1562</v>
      </c>
    </row>
    <row r="74" spans="1:10">
      <c r="A74" t="s">
        <v>1563</v>
      </c>
    </row>
    <row r="76" spans="1:10">
      <c r="A76" s="291" t="s">
        <v>1564</v>
      </c>
      <c r="B76" s="291" t="s">
        <v>1565</v>
      </c>
      <c r="C76" s="291" t="s">
        <v>1566</v>
      </c>
      <c r="D76" s="291" t="s">
        <v>1567</v>
      </c>
      <c r="E76" s="291" t="s">
        <v>346</v>
      </c>
    </row>
    <row r="77" spans="1:10">
      <c r="A77" t="s">
        <v>347</v>
      </c>
      <c r="B77" t="s">
        <v>1568</v>
      </c>
      <c r="C77" t="s">
        <v>1569</v>
      </c>
      <c r="D77" t="s">
        <v>1570</v>
      </c>
      <c r="E77" t="s">
        <v>1571</v>
      </c>
    </row>
    <row r="78" spans="1:10">
      <c r="A78" t="s">
        <v>349</v>
      </c>
      <c r="B78" t="s">
        <v>579</v>
      </c>
      <c r="C78" t="s">
        <v>1569</v>
      </c>
      <c r="D78" t="s">
        <v>1572</v>
      </c>
      <c r="E78" t="s">
        <v>1573</v>
      </c>
    </row>
    <row r="79" spans="1:10">
      <c r="A79" t="s">
        <v>351</v>
      </c>
      <c r="B79" t="s">
        <v>338</v>
      </c>
      <c r="C79" t="s">
        <v>1569</v>
      </c>
      <c r="D79" t="s">
        <v>1574</v>
      </c>
      <c r="E79" t="e">
        <f>VLOOKUP(B5,案件管理!A:D,4,FALSE)</f>
        <v>#N/A</v>
      </c>
    </row>
    <row r="80" spans="1:10">
      <c r="A80" t="s">
        <v>1575</v>
      </c>
      <c r="B80" t="s">
        <v>339</v>
      </c>
      <c r="C80" t="s">
        <v>1569</v>
      </c>
      <c r="D80" t="s">
        <v>1574</v>
      </c>
      <c r="E80" t="e">
        <f>VLOOKUP(B5,案件管理!A:D,3,FALSE)</f>
        <v>#N/A</v>
      </c>
    </row>
    <row r="81" spans="1:5">
      <c r="A81" t="s">
        <v>1576</v>
      </c>
      <c r="B81" t="s">
        <v>1577</v>
      </c>
      <c r="C81" t="s">
        <v>1578</v>
      </c>
      <c r="D81" t="s">
        <v>1572</v>
      </c>
      <c r="E81" t="s">
        <v>1579</v>
      </c>
    </row>
    <row r="82" spans="1:5">
      <c r="A82" t="s">
        <v>1580</v>
      </c>
      <c r="B82" t="s">
        <v>991</v>
      </c>
      <c r="C82" t="s">
        <v>1581</v>
      </c>
      <c r="D82" t="s">
        <v>1572</v>
      </c>
      <c r="E82" t="s">
        <v>1582</v>
      </c>
    </row>
    <row r="83" spans="1:5">
      <c r="A83" t="s">
        <v>1583</v>
      </c>
      <c r="B83" t="s">
        <v>1584</v>
      </c>
      <c r="C83" t="s">
        <v>1585</v>
      </c>
      <c r="D83" t="s">
        <v>1572</v>
      </c>
      <c r="E83" t="s">
        <v>1586</v>
      </c>
    </row>
    <row r="84" spans="1:5">
      <c r="A84" t="s">
        <v>1587</v>
      </c>
      <c r="B84" t="s">
        <v>994</v>
      </c>
      <c r="C84" t="s">
        <v>1581</v>
      </c>
      <c r="D84" t="s">
        <v>1572</v>
      </c>
      <c r="E84" t="s">
        <v>1588</v>
      </c>
    </row>
    <row r="85" spans="1:5">
      <c r="A85" t="s">
        <v>1589</v>
      </c>
      <c r="B85" t="s">
        <v>995</v>
      </c>
      <c r="C85" t="s">
        <v>1585</v>
      </c>
      <c r="D85" t="s">
        <v>1572</v>
      </c>
      <c r="E85" t="s">
        <v>1588</v>
      </c>
    </row>
    <row r="86" spans="1:5">
      <c r="A86" t="s">
        <v>1590</v>
      </c>
      <c r="B86" t="s">
        <v>1591</v>
      </c>
      <c r="C86" t="s">
        <v>1585</v>
      </c>
      <c r="D86" t="s">
        <v>1574</v>
      </c>
      <c r="E86" t="e" cm="1">
        <f t="array" ref="E86">G5-I5 ※残額が0になるまで追跡</f>
        <v>#NAME?</v>
      </c>
    </row>
    <row r="87" spans="1:5">
      <c r="A87" t="s">
        <v>1592</v>
      </c>
      <c r="B87" t="s">
        <v>533</v>
      </c>
      <c r="C87" t="s">
        <v>1569</v>
      </c>
      <c r="D87" t="s">
        <v>1574</v>
      </c>
      <c r="E87" t="str">
        <f>IF(J5&lt;=0,"✅入金済",IF(H5&lt;&gt;"","⚠一部入金",IF(F5&lt;&gt;"","❌未入金","")))</f>
        <v>✅入金済</v>
      </c>
    </row>
    <row r="88" spans="1:5">
      <c r="A88" t="s">
        <v>1593</v>
      </c>
      <c r="B88" t="s">
        <v>164</v>
      </c>
      <c r="C88" t="s">
        <v>1569</v>
      </c>
      <c r="D88" t="s">
        <v>1572</v>
      </c>
      <c r="E88" t="s">
        <v>1594</v>
      </c>
    </row>
    <row r="90" spans="1:5">
      <c r="A90" s="974" t="s">
        <v>1595</v>
      </c>
    </row>
    <row r="91" spans="1:5">
      <c r="A91" t="s">
        <v>1596</v>
      </c>
    </row>
    <row r="93" spans="1:5">
      <c r="A93" s="291" t="s">
        <v>1564</v>
      </c>
      <c r="B93" s="291" t="s">
        <v>1565</v>
      </c>
      <c r="C93" s="291" t="s">
        <v>1566</v>
      </c>
      <c r="D93" s="291" t="s">
        <v>1567</v>
      </c>
      <c r="E93" s="291" t="s">
        <v>346</v>
      </c>
    </row>
    <row r="94" spans="1:5">
      <c r="A94" t="s">
        <v>347</v>
      </c>
      <c r="B94" t="s">
        <v>1597</v>
      </c>
      <c r="C94" t="s">
        <v>1569</v>
      </c>
      <c r="D94" t="s">
        <v>1570</v>
      </c>
      <c r="E94" t="s">
        <v>1598</v>
      </c>
    </row>
    <row r="95" spans="1:5">
      <c r="A95" t="s">
        <v>349</v>
      </c>
      <c r="B95" t="s">
        <v>579</v>
      </c>
      <c r="C95" t="s">
        <v>1569</v>
      </c>
      <c r="D95" t="s">
        <v>1572</v>
      </c>
      <c r="E95" t="s">
        <v>1573</v>
      </c>
    </row>
    <row r="96" spans="1:5">
      <c r="A96" t="s">
        <v>351</v>
      </c>
      <c r="B96" t="s">
        <v>1599</v>
      </c>
      <c r="C96" t="s">
        <v>1600</v>
      </c>
      <c r="D96" t="s">
        <v>1572</v>
      </c>
      <c r="E96" t="s">
        <v>1601</v>
      </c>
    </row>
    <row r="97" spans="1:5">
      <c r="A97" t="s">
        <v>1575</v>
      </c>
      <c r="B97" t="s">
        <v>355</v>
      </c>
      <c r="C97" t="s">
        <v>1569</v>
      </c>
      <c r="D97" t="s">
        <v>1574</v>
      </c>
      <c r="E97" t="e">
        <f>VLOOKUP(C5,業者DB!A:B,2,FALSE)</f>
        <v>#N/A</v>
      </c>
    </row>
    <row r="98" spans="1:5">
      <c r="A98" t="s">
        <v>1576</v>
      </c>
      <c r="B98" t="s">
        <v>149</v>
      </c>
      <c r="C98" t="s">
        <v>1569</v>
      </c>
      <c r="D98" t="s">
        <v>1572</v>
      </c>
      <c r="E98" t="s">
        <v>1602</v>
      </c>
    </row>
    <row r="99" spans="1:5">
      <c r="A99" t="s">
        <v>1580</v>
      </c>
      <c r="B99" t="s">
        <v>692</v>
      </c>
      <c r="C99" t="s">
        <v>1581</v>
      </c>
      <c r="D99" t="s">
        <v>1572</v>
      </c>
      <c r="E99" t="s">
        <v>1582</v>
      </c>
    </row>
    <row r="100" spans="1:5">
      <c r="A100" t="s">
        <v>1583</v>
      </c>
      <c r="B100" t="s">
        <v>693</v>
      </c>
      <c r="C100" t="s">
        <v>1585</v>
      </c>
      <c r="D100" t="s">
        <v>1572</v>
      </c>
      <c r="E100" t="s">
        <v>1603</v>
      </c>
    </row>
    <row r="101" spans="1:5">
      <c r="A101" t="s">
        <v>1589</v>
      </c>
      <c r="B101" t="s">
        <v>1606</v>
      </c>
      <c r="C101" t="s">
        <v>1585</v>
      </c>
      <c r="D101" t="s">
        <v>1572</v>
      </c>
      <c r="E101" t="s">
        <v>1605</v>
      </c>
    </row>
    <row r="102" spans="1:5">
      <c r="A102" t="s">
        <v>1590</v>
      </c>
      <c r="B102" t="s">
        <v>1591</v>
      </c>
      <c r="C102" t="s">
        <v>1585</v>
      </c>
      <c r="D102" t="s">
        <v>1574</v>
      </c>
      <c r="E102">
        <f>G5-I5</f>
        <v>0</v>
      </c>
    </row>
    <row r="103" spans="1:5">
      <c r="A103" t="s">
        <v>1592</v>
      </c>
      <c r="B103" t="s">
        <v>533</v>
      </c>
      <c r="C103" t="s">
        <v>1569</v>
      </c>
      <c r="D103" t="s">
        <v>1574</v>
      </c>
      <c r="E103" t="str">
        <f>IF(J5&lt;=0,"✅支払済",IF(H5&lt;&gt;"","⚠一部支払",IF(F5&lt;&gt;"","❌未支払","")))</f>
        <v>✅支払済</v>
      </c>
    </row>
    <row r="104" spans="1:5">
      <c r="A104" t="s">
        <v>1593</v>
      </c>
      <c r="B104" t="s">
        <v>500</v>
      </c>
      <c r="C104" t="s">
        <v>1569</v>
      </c>
      <c r="D104" t="s">
        <v>1574</v>
      </c>
      <c r="E104" t="e">
        <f>VLOOKUP(C5,業者DB!A:I,9,FALSE)</f>
        <v>#N/A</v>
      </c>
    </row>
    <row r="105" spans="1:5">
      <c r="A105" t="s">
        <v>1607</v>
      </c>
      <c r="B105" t="s">
        <v>164</v>
      </c>
      <c r="C105" t="s">
        <v>1569</v>
      </c>
      <c r="D105" t="s">
        <v>1572</v>
      </c>
      <c r="E105" t="s">
        <v>1594</v>
      </c>
    </row>
    <row r="107" spans="1:5" ht="16">
      <c r="A107" s="289" t="s">
        <v>1608</v>
      </c>
    </row>
    <row r="109" spans="1:5">
      <c r="A109" s="290" t="s">
        <v>1609</v>
      </c>
      <c r="C109" t="s">
        <v>1610</v>
      </c>
    </row>
    <row r="110" spans="1:5">
      <c r="A110" s="290" t="s">
        <v>1611</v>
      </c>
      <c r="C110" t="s">
        <v>1612</v>
      </c>
    </row>
    <row r="112" spans="1:5">
      <c r="A112" s="291" t="s">
        <v>1564</v>
      </c>
      <c r="B112" s="291" t="s">
        <v>1613</v>
      </c>
      <c r="D112" s="291" t="s">
        <v>1614</v>
      </c>
    </row>
    <row r="113" spans="1:5">
      <c r="A113" t="s">
        <v>1615</v>
      </c>
      <c r="B113" t="s">
        <v>1616</v>
      </c>
      <c r="D113" t="s">
        <v>1617</v>
      </c>
    </row>
    <row r="114" spans="1:5">
      <c r="A114" t="s">
        <v>1618</v>
      </c>
      <c r="B114" t="s">
        <v>1619</v>
      </c>
      <c r="D114" t="s">
        <v>1620</v>
      </c>
    </row>
    <row r="115" spans="1:5">
      <c r="A115" t="s">
        <v>1621</v>
      </c>
      <c r="B115" t="e" cm="1">
        <f t="array" ref="B115">Q5または手入力</f>
        <v>#NAME?</v>
      </c>
      <c r="D115" t="s">
        <v>1622</v>
      </c>
    </row>
    <row r="116" spans="1:5">
      <c r="A116" t="s">
        <v>1623</v>
      </c>
      <c r="B116" t="s">
        <v>1624</v>
      </c>
      <c r="D116" t="s">
        <v>1625</v>
      </c>
    </row>
    <row r="117" spans="1:5">
      <c r="A117" t="s">
        <v>1626</v>
      </c>
      <c r="B117" t="s">
        <v>1619</v>
      </c>
      <c r="D117" t="s">
        <v>1627</v>
      </c>
    </row>
    <row r="118" spans="1:5">
      <c r="A118" t="s">
        <v>1628</v>
      </c>
      <c r="B118" t="e" cm="1">
        <f t="array" ref="B118">IF(入金済,Z5,"")</f>
        <v>#NAME?</v>
      </c>
      <c r="D118" t="s">
        <v>1629</v>
      </c>
    </row>
    <row r="120" spans="1:5" ht="16">
      <c r="A120" s="289" t="s">
        <v>1630</v>
      </c>
    </row>
    <row r="122" spans="1:5">
      <c r="A122" s="290" t="s">
        <v>1631</v>
      </c>
    </row>
    <row r="124" spans="1:5">
      <c r="A124" s="291" t="s">
        <v>1632</v>
      </c>
      <c r="B124" s="291" t="s">
        <v>1633</v>
      </c>
      <c r="E124" s="291" t="s">
        <v>1634</v>
      </c>
    </row>
    <row r="125" spans="1:5">
      <c r="A125" t="s">
        <v>1635</v>
      </c>
      <c r="B125" t="e">
        <f>SUM([2]請求管理!G:G)</f>
        <v>#REF!</v>
      </c>
      <c r="E125" t="s">
        <v>1636</v>
      </c>
    </row>
    <row r="126" spans="1:5">
      <c r="A126" t="s">
        <v>1637</v>
      </c>
      <c r="B126" t="e">
        <f>SUM([2]請求管理!I:I)</f>
        <v>#REF!</v>
      </c>
      <c r="E126" t="s">
        <v>1636</v>
      </c>
    </row>
    <row r="127" spans="1:5">
      <c r="A127" t="s">
        <v>1638</v>
      </c>
      <c r="B127" t="e">
        <f>SUM([2]請求管理!J:J)</f>
        <v>#REF!</v>
      </c>
      <c r="E127" t="s">
        <v>1636</v>
      </c>
    </row>
    <row r="128" spans="1:5">
      <c r="A128" t="s">
        <v>1639</v>
      </c>
      <c r="B128" t="e">
        <f>SUM([3]支払管理!G:G)</f>
        <v>#REF!</v>
      </c>
      <c r="E128" t="s">
        <v>1640</v>
      </c>
    </row>
    <row r="129" spans="1:5">
      <c r="A129" t="s">
        <v>1641</v>
      </c>
      <c r="B129" t="e">
        <f>SUM([3]支払管理!I:I)</f>
        <v>#REF!</v>
      </c>
      <c r="E129" t="s">
        <v>1640</v>
      </c>
    </row>
    <row r="130" spans="1:5">
      <c r="A130" t="s">
        <v>1642</v>
      </c>
      <c r="B130" t="e">
        <f>SUM([3]支払管理!J:J)</f>
        <v>#REF!</v>
      </c>
      <c r="E130" t="s">
        <v>1640</v>
      </c>
    </row>
    <row r="132" spans="1:5" ht="16">
      <c r="A132" s="289" t="s">
        <v>1643</v>
      </c>
    </row>
    <row r="134" spans="1:5">
      <c r="A134" s="294" t="s">
        <v>854</v>
      </c>
      <c r="B134" t="s">
        <v>373</v>
      </c>
      <c r="C134" t="s">
        <v>1645</v>
      </c>
    </row>
    <row r="135" spans="1:5">
      <c r="A135" s="294" t="s">
        <v>854</v>
      </c>
      <c r="B135" t="s">
        <v>373</v>
      </c>
      <c r="C135" t="s">
        <v>1646</v>
      </c>
    </row>
    <row r="136" spans="1:5">
      <c r="A136" s="294" t="s">
        <v>854</v>
      </c>
      <c r="B136" t="s">
        <v>373</v>
      </c>
      <c r="C136" t="s">
        <v>1647</v>
      </c>
    </row>
    <row r="137" spans="1:5">
      <c r="A137" s="294" t="s">
        <v>854</v>
      </c>
      <c r="B137" t="s">
        <v>375</v>
      </c>
      <c r="C137" t="s">
        <v>1648</v>
      </c>
    </row>
    <row r="138" spans="1:5">
      <c r="A138" s="294" t="s">
        <v>854</v>
      </c>
      <c r="B138" t="s">
        <v>375</v>
      </c>
      <c r="C138" t="s">
        <v>1649</v>
      </c>
    </row>
    <row r="139" spans="1:5">
      <c r="A139" s="294" t="s">
        <v>854</v>
      </c>
      <c r="B139" t="s">
        <v>376</v>
      </c>
      <c r="C139" t="s">
        <v>1650</v>
      </c>
    </row>
    <row r="140" spans="1:5">
      <c r="A140" s="294" t="s">
        <v>854</v>
      </c>
      <c r="B140" t="s">
        <v>377</v>
      </c>
      <c r="C140" t="s">
        <v>1651</v>
      </c>
    </row>
    <row r="141" spans="1:5">
      <c r="A141" s="294" t="s">
        <v>1644</v>
      </c>
      <c r="B141" t="s">
        <v>538</v>
      </c>
      <c r="C141" t="s">
        <v>1652</v>
      </c>
    </row>
    <row r="142" spans="1:5">
      <c r="A142" s="294" t="s">
        <v>854</v>
      </c>
      <c r="B142" t="s">
        <v>1653</v>
      </c>
      <c r="C142" t="s">
        <v>1654</v>
      </c>
    </row>
    <row r="143" spans="1:5">
      <c r="A143" s="294" t="s">
        <v>1644</v>
      </c>
      <c r="B143" t="s">
        <v>1655</v>
      </c>
      <c r="C143" t="s">
        <v>1656</v>
      </c>
    </row>
    <row r="145" spans="1:1">
      <c r="A145" s="979" t="s">
        <v>1657</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80" t="s">
        <v>1759</v>
      </c>
      <c r="B1" s="320"/>
      <c r="C1" s="320"/>
      <c r="D1" s="320"/>
      <c r="E1" s="320"/>
      <c r="F1" s="320"/>
      <c r="G1" s="320"/>
      <c r="H1" s="320"/>
      <c r="I1" s="320"/>
      <c r="J1" s="320"/>
      <c r="K1" s="320"/>
      <c r="L1" s="320"/>
    </row>
    <row r="2" spans="1:12">
      <c r="A2" s="981" t="s">
        <v>1760</v>
      </c>
      <c r="B2" s="320"/>
      <c r="C2" s="320"/>
      <c r="D2" s="320"/>
      <c r="E2" s="320"/>
      <c r="F2" s="320"/>
      <c r="G2" s="320"/>
      <c r="H2" s="320"/>
      <c r="I2" s="320"/>
      <c r="J2" s="320"/>
      <c r="K2" s="320"/>
      <c r="L2" s="320"/>
    </row>
    <row r="3" spans="1:12">
      <c r="A3" s="982" t="s">
        <v>1761</v>
      </c>
      <c r="B3" s="983"/>
      <c r="C3" s="983"/>
      <c r="D3" s="983"/>
      <c r="E3" s="983"/>
      <c r="F3" s="983"/>
      <c r="G3" s="983"/>
      <c r="H3" s="983"/>
      <c r="I3" s="983"/>
      <c r="J3" s="983"/>
      <c r="K3" s="983"/>
      <c r="L3" s="983"/>
    </row>
    <row r="4" spans="1:12">
      <c r="A4" s="984" t="s">
        <v>1568</v>
      </c>
      <c r="B4" s="984" t="s">
        <v>579</v>
      </c>
      <c r="C4" s="984" t="s">
        <v>338</v>
      </c>
      <c r="D4" s="984" t="s">
        <v>339</v>
      </c>
      <c r="E4" s="984" t="s">
        <v>1577</v>
      </c>
      <c r="F4" s="984" t="s">
        <v>991</v>
      </c>
      <c r="G4" s="984" t="s">
        <v>1584</v>
      </c>
      <c r="H4" s="984" t="s">
        <v>994</v>
      </c>
      <c r="I4" s="984" t="s">
        <v>995</v>
      </c>
      <c r="J4" s="984" t="s">
        <v>1591</v>
      </c>
      <c r="K4" s="984" t="s">
        <v>533</v>
      </c>
      <c r="L4" s="984" t="s">
        <v>164</v>
      </c>
    </row>
    <row r="5" spans="1:12">
      <c r="A5" s="986" t="str">
        <f>IF(B5="","","INV-"&amp;TEXT(ROW()-4,"000"))</f>
        <v>INV-001</v>
      </c>
      <c r="B5" s="987" t="s">
        <v>591</v>
      </c>
      <c r="C5" s="985" t="str">
        <f>IF(B5="","",IFERROR(VLOOKUP(B5,案件管理!A:D,4,FALSE),""))</f>
        <v>吉野様邸 リフォーム工事</v>
      </c>
      <c r="D5" s="985" t="str">
        <f>IF(B5="","",IFERROR(VLOOKUP(B5,案件管理!A:C,3,FALSE),""))</f>
        <v>吉野</v>
      </c>
      <c r="E5" s="987" t="s">
        <v>1762</v>
      </c>
      <c r="F5" s="988">
        <v>45735</v>
      </c>
      <c r="G5" s="989">
        <v>3500000</v>
      </c>
      <c r="H5" s="988">
        <v>45760</v>
      </c>
      <c r="I5" s="989">
        <v>3500000</v>
      </c>
      <c r="J5" s="990">
        <f>IF(B5="","",IF(G5="","",G5-IF(I5="",0,I5)))</f>
        <v>0</v>
      </c>
      <c r="K5" s="986" t="str">
        <f>IF(B5="","",IF(G5="","",IF(J5&lt;=0,"✅入金済",IF(I5&lt;&gt;"","⚠一部入金",IF(F5&lt;&gt;"","❌未入金","")))))</f>
        <v>✅入金済</v>
      </c>
      <c r="L5" s="985"/>
    </row>
    <row r="6" spans="1:12">
      <c r="A6" s="986" t="str">
        <f t="shared" ref="A6:A69" si="0">IF(B6="","","INV-"&amp;TEXT(ROW()-4,"000"))</f>
        <v>INV-002</v>
      </c>
      <c r="B6" s="987" t="s">
        <v>601</v>
      </c>
      <c r="C6" s="985" t="str">
        <f>IF(B6="","",IFERROR(VLOOKUP(B6,案件管理!A:D,4,FALSE),""))</f>
        <v>吉野様邸 キッチンリフォーム</v>
      </c>
      <c r="D6" s="985" t="str">
        <f>IF(B6="","",IFERROR(VLOOKUP(B6,案件管理!A:C,3,FALSE),""))</f>
        <v>吉野</v>
      </c>
      <c r="E6" s="987" t="s">
        <v>1763</v>
      </c>
      <c r="F6" s="988">
        <v>46034</v>
      </c>
      <c r="G6" s="989">
        <v>627220</v>
      </c>
      <c r="H6" s="988">
        <v>46040</v>
      </c>
      <c r="I6" s="989">
        <v>627220</v>
      </c>
      <c r="J6" s="990">
        <f t="shared" ref="J6:J69" si="1">IF(B6="","",IF(G6="","",G6-IF(I6="",0,I6)))</f>
        <v>0</v>
      </c>
      <c r="K6" s="986" t="str">
        <f t="shared" ref="K6:K69" si="2">IF(B6="","",IF(G6="","",IF(J6&lt;=0,"✅入金済",IF(I6&lt;&gt;"","⚠一部入金",IF(F6&lt;&gt;"","❌未入金","")))))</f>
        <v>✅入金済</v>
      </c>
      <c r="L6" s="985"/>
    </row>
    <row r="7" spans="1:12">
      <c r="A7" s="986" t="str">
        <f t="shared" si="0"/>
        <v>INV-003</v>
      </c>
      <c r="B7" s="987" t="s">
        <v>601</v>
      </c>
      <c r="C7" s="985" t="str">
        <f>IF(B7="","",IFERROR(VLOOKUP(B7,案件管理!A:D,4,FALSE),""))</f>
        <v>吉野様邸 キッチンリフォーム</v>
      </c>
      <c r="D7" s="985" t="str">
        <f>IF(B7="","",IFERROR(VLOOKUP(B7,案件管理!A:C,3,FALSE),""))</f>
        <v>吉野</v>
      </c>
      <c r="E7" s="987" t="s">
        <v>1764</v>
      </c>
      <c r="F7" s="988">
        <v>46064</v>
      </c>
      <c r="G7" s="989">
        <v>627220</v>
      </c>
      <c r="H7" s="988"/>
      <c r="I7" s="989"/>
      <c r="J7" s="990">
        <f t="shared" si="1"/>
        <v>627220</v>
      </c>
      <c r="K7" s="986" t="str">
        <f t="shared" si="2"/>
        <v>❌未入金</v>
      </c>
      <c r="L7" s="985"/>
    </row>
    <row r="8" spans="1:12">
      <c r="A8" s="986" t="str">
        <f t="shared" si="0"/>
        <v/>
      </c>
      <c r="B8" s="987"/>
      <c r="C8" s="985" t="str">
        <f>IF(B8="","",IFERROR(VLOOKUP(B8,案件管理!A:D,4,FALSE),""))</f>
        <v/>
      </c>
      <c r="D8" s="985" t="str">
        <f>IF(B8="","",IFERROR(VLOOKUP(B8,案件管理!A:C,3,FALSE),""))</f>
        <v/>
      </c>
      <c r="E8" s="987"/>
      <c r="F8" s="988"/>
      <c r="G8" s="989"/>
      <c r="H8" s="988"/>
      <c r="I8" s="989"/>
      <c r="J8" s="990" t="str">
        <f t="shared" si="1"/>
        <v/>
      </c>
      <c r="K8" s="986" t="str">
        <f t="shared" si="2"/>
        <v/>
      </c>
      <c r="L8" s="985"/>
    </row>
    <row r="9" spans="1:12">
      <c r="A9" s="986" t="str">
        <f t="shared" si="0"/>
        <v/>
      </c>
      <c r="B9" s="987"/>
      <c r="C9" s="985" t="str">
        <f>IF(B9="","",IFERROR(VLOOKUP(B9,案件管理!A:D,4,FALSE),""))</f>
        <v/>
      </c>
      <c r="D9" s="985" t="str">
        <f>IF(B9="","",IFERROR(VLOOKUP(B9,案件管理!A:C,3,FALSE),""))</f>
        <v/>
      </c>
      <c r="E9" s="987"/>
      <c r="F9" s="988"/>
      <c r="G9" s="989"/>
      <c r="H9" s="988"/>
      <c r="I9" s="989"/>
      <c r="J9" s="990" t="str">
        <f t="shared" si="1"/>
        <v/>
      </c>
      <c r="K9" s="986" t="str">
        <f t="shared" si="2"/>
        <v/>
      </c>
      <c r="L9" s="985"/>
    </row>
    <row r="10" spans="1:12">
      <c r="A10" s="986" t="str">
        <f t="shared" si="0"/>
        <v/>
      </c>
      <c r="B10" s="987"/>
      <c r="C10" s="985" t="str">
        <f>IF(B10="","",IFERROR(VLOOKUP(B10,案件管理!A:D,4,FALSE),""))</f>
        <v/>
      </c>
      <c r="D10" s="985" t="str">
        <f>IF(B10="","",IFERROR(VLOOKUP(B10,案件管理!A:C,3,FALSE),""))</f>
        <v/>
      </c>
      <c r="E10" s="987"/>
      <c r="F10" s="988"/>
      <c r="G10" s="989"/>
      <c r="H10" s="988"/>
      <c r="I10" s="989"/>
      <c r="J10" s="990" t="str">
        <f t="shared" si="1"/>
        <v/>
      </c>
      <c r="K10" s="986" t="str">
        <f t="shared" si="2"/>
        <v/>
      </c>
      <c r="L10" s="985"/>
    </row>
    <row r="11" spans="1:12">
      <c r="A11" s="986" t="str">
        <f t="shared" si="0"/>
        <v/>
      </c>
      <c r="B11" s="987"/>
      <c r="C11" s="985" t="str">
        <f>IF(B11="","",IFERROR(VLOOKUP(B11,案件管理!A:D,4,FALSE),""))</f>
        <v/>
      </c>
      <c r="D11" s="985" t="str">
        <f>IF(B11="","",IFERROR(VLOOKUP(B11,案件管理!A:C,3,FALSE),""))</f>
        <v/>
      </c>
      <c r="E11" s="987"/>
      <c r="F11" s="988"/>
      <c r="G11" s="989"/>
      <c r="H11" s="988"/>
      <c r="I11" s="989"/>
      <c r="J11" s="990" t="str">
        <f t="shared" si="1"/>
        <v/>
      </c>
      <c r="K11" s="986" t="str">
        <f t="shared" si="2"/>
        <v/>
      </c>
      <c r="L11" s="985"/>
    </row>
    <row r="12" spans="1:12">
      <c r="A12" s="986" t="str">
        <f t="shared" si="0"/>
        <v/>
      </c>
      <c r="B12" s="987"/>
      <c r="C12" s="985" t="str">
        <f>IF(B12="","",IFERROR(VLOOKUP(B12,案件管理!A:D,4,FALSE),""))</f>
        <v/>
      </c>
      <c r="D12" s="985" t="str">
        <f>IF(B12="","",IFERROR(VLOOKUP(B12,案件管理!A:C,3,FALSE),""))</f>
        <v/>
      </c>
      <c r="E12" s="987"/>
      <c r="F12" s="988"/>
      <c r="G12" s="989"/>
      <c r="H12" s="988"/>
      <c r="I12" s="989"/>
      <c r="J12" s="990" t="str">
        <f t="shared" si="1"/>
        <v/>
      </c>
      <c r="K12" s="986" t="str">
        <f t="shared" si="2"/>
        <v/>
      </c>
      <c r="L12" s="985"/>
    </row>
    <row r="13" spans="1:12">
      <c r="A13" s="986" t="str">
        <f t="shared" si="0"/>
        <v/>
      </c>
      <c r="B13" s="987"/>
      <c r="C13" s="985" t="str">
        <f>IF(B13="","",IFERROR(VLOOKUP(B13,案件管理!A:D,4,FALSE),""))</f>
        <v/>
      </c>
      <c r="D13" s="985" t="str">
        <f>IF(B13="","",IFERROR(VLOOKUP(B13,案件管理!A:C,3,FALSE),""))</f>
        <v/>
      </c>
      <c r="E13" s="987"/>
      <c r="F13" s="988"/>
      <c r="G13" s="989"/>
      <c r="H13" s="988"/>
      <c r="I13" s="989"/>
      <c r="J13" s="990" t="str">
        <f t="shared" si="1"/>
        <v/>
      </c>
      <c r="K13" s="986" t="str">
        <f t="shared" si="2"/>
        <v/>
      </c>
      <c r="L13" s="985"/>
    </row>
    <row r="14" spans="1:12">
      <c r="A14" s="986" t="str">
        <f t="shared" si="0"/>
        <v/>
      </c>
      <c r="B14" s="987"/>
      <c r="C14" s="985" t="str">
        <f>IF(B14="","",IFERROR(VLOOKUP(B14,案件管理!A:D,4,FALSE),""))</f>
        <v/>
      </c>
      <c r="D14" s="985" t="str">
        <f>IF(B14="","",IFERROR(VLOOKUP(B14,案件管理!A:C,3,FALSE),""))</f>
        <v/>
      </c>
      <c r="E14" s="987"/>
      <c r="F14" s="988"/>
      <c r="G14" s="989"/>
      <c r="H14" s="988"/>
      <c r="I14" s="989"/>
      <c r="J14" s="990" t="str">
        <f t="shared" si="1"/>
        <v/>
      </c>
      <c r="K14" s="986" t="str">
        <f t="shared" si="2"/>
        <v/>
      </c>
      <c r="L14" s="985"/>
    </row>
    <row r="15" spans="1:12">
      <c r="A15" s="986" t="str">
        <f t="shared" si="0"/>
        <v/>
      </c>
      <c r="B15" s="987"/>
      <c r="C15" s="985" t="str">
        <f>IF(B15="","",IFERROR(VLOOKUP(B15,案件管理!A:D,4,FALSE),""))</f>
        <v/>
      </c>
      <c r="D15" s="985" t="str">
        <f>IF(B15="","",IFERROR(VLOOKUP(B15,案件管理!A:C,3,FALSE),""))</f>
        <v/>
      </c>
      <c r="E15" s="987"/>
      <c r="F15" s="988"/>
      <c r="G15" s="989"/>
      <c r="H15" s="988"/>
      <c r="I15" s="989"/>
      <c r="J15" s="990" t="str">
        <f t="shared" si="1"/>
        <v/>
      </c>
      <c r="K15" s="986" t="str">
        <f t="shared" si="2"/>
        <v/>
      </c>
      <c r="L15" s="985"/>
    </row>
    <row r="16" spans="1:12">
      <c r="A16" s="986" t="str">
        <f t="shared" si="0"/>
        <v/>
      </c>
      <c r="B16" s="987"/>
      <c r="C16" s="985" t="str">
        <f>IF(B16="","",IFERROR(VLOOKUP(B16,案件管理!A:D,4,FALSE),""))</f>
        <v/>
      </c>
      <c r="D16" s="985" t="str">
        <f>IF(B16="","",IFERROR(VLOOKUP(B16,案件管理!A:C,3,FALSE),""))</f>
        <v/>
      </c>
      <c r="E16" s="987"/>
      <c r="F16" s="988"/>
      <c r="G16" s="989"/>
      <c r="H16" s="988"/>
      <c r="I16" s="989"/>
      <c r="J16" s="990" t="str">
        <f t="shared" si="1"/>
        <v/>
      </c>
      <c r="K16" s="986" t="str">
        <f t="shared" si="2"/>
        <v/>
      </c>
      <c r="L16" s="985"/>
    </row>
    <row r="17" spans="1:12">
      <c r="A17" s="986" t="str">
        <f t="shared" si="0"/>
        <v/>
      </c>
      <c r="B17" s="987"/>
      <c r="C17" s="985" t="str">
        <f>IF(B17="","",IFERROR(VLOOKUP(B17,案件管理!A:D,4,FALSE),""))</f>
        <v/>
      </c>
      <c r="D17" s="985" t="str">
        <f>IF(B17="","",IFERROR(VLOOKUP(B17,案件管理!A:C,3,FALSE),""))</f>
        <v/>
      </c>
      <c r="E17" s="987"/>
      <c r="F17" s="988"/>
      <c r="G17" s="989"/>
      <c r="H17" s="988"/>
      <c r="I17" s="989"/>
      <c r="J17" s="990" t="str">
        <f t="shared" si="1"/>
        <v/>
      </c>
      <c r="K17" s="986" t="str">
        <f t="shared" si="2"/>
        <v/>
      </c>
      <c r="L17" s="985"/>
    </row>
    <row r="18" spans="1:12">
      <c r="A18" s="986" t="str">
        <f t="shared" si="0"/>
        <v/>
      </c>
      <c r="B18" s="987"/>
      <c r="C18" s="985" t="str">
        <f>IF(B18="","",IFERROR(VLOOKUP(B18,案件管理!A:D,4,FALSE),""))</f>
        <v/>
      </c>
      <c r="D18" s="985" t="str">
        <f>IF(B18="","",IFERROR(VLOOKUP(B18,案件管理!A:C,3,FALSE),""))</f>
        <v/>
      </c>
      <c r="E18" s="987"/>
      <c r="F18" s="988"/>
      <c r="G18" s="989"/>
      <c r="H18" s="988"/>
      <c r="I18" s="989"/>
      <c r="J18" s="990" t="str">
        <f t="shared" si="1"/>
        <v/>
      </c>
      <c r="K18" s="986" t="str">
        <f t="shared" si="2"/>
        <v/>
      </c>
      <c r="L18" s="985"/>
    </row>
    <row r="19" spans="1:12">
      <c r="A19" s="986" t="str">
        <f t="shared" si="0"/>
        <v/>
      </c>
      <c r="B19" s="987"/>
      <c r="C19" s="985" t="str">
        <f>IF(B19="","",IFERROR(VLOOKUP(B19,案件管理!A:D,4,FALSE),""))</f>
        <v/>
      </c>
      <c r="D19" s="985" t="str">
        <f>IF(B19="","",IFERROR(VLOOKUP(B19,案件管理!A:C,3,FALSE),""))</f>
        <v/>
      </c>
      <c r="E19" s="987"/>
      <c r="F19" s="988"/>
      <c r="G19" s="989"/>
      <c r="H19" s="988"/>
      <c r="I19" s="989"/>
      <c r="J19" s="990" t="str">
        <f t="shared" si="1"/>
        <v/>
      </c>
      <c r="K19" s="986" t="str">
        <f t="shared" si="2"/>
        <v/>
      </c>
      <c r="L19" s="985"/>
    </row>
    <row r="20" spans="1:12">
      <c r="A20" s="986" t="str">
        <f t="shared" si="0"/>
        <v/>
      </c>
      <c r="B20" s="987"/>
      <c r="C20" s="985" t="str">
        <f>IF(B20="","",IFERROR(VLOOKUP(B20,案件管理!A:D,4,FALSE),""))</f>
        <v/>
      </c>
      <c r="D20" s="985" t="str">
        <f>IF(B20="","",IFERROR(VLOOKUP(B20,案件管理!A:C,3,FALSE),""))</f>
        <v/>
      </c>
      <c r="E20" s="987"/>
      <c r="F20" s="988"/>
      <c r="G20" s="989"/>
      <c r="H20" s="988"/>
      <c r="I20" s="989"/>
      <c r="J20" s="990" t="str">
        <f t="shared" si="1"/>
        <v/>
      </c>
      <c r="K20" s="986" t="str">
        <f t="shared" si="2"/>
        <v/>
      </c>
      <c r="L20" s="985"/>
    </row>
    <row r="21" spans="1:12">
      <c r="A21" s="986" t="str">
        <f t="shared" si="0"/>
        <v/>
      </c>
      <c r="B21" s="987"/>
      <c r="C21" s="985" t="str">
        <f>IF(B21="","",IFERROR(VLOOKUP(B21,案件管理!A:D,4,FALSE),""))</f>
        <v/>
      </c>
      <c r="D21" s="985" t="str">
        <f>IF(B21="","",IFERROR(VLOOKUP(B21,案件管理!A:C,3,FALSE),""))</f>
        <v/>
      </c>
      <c r="E21" s="987"/>
      <c r="F21" s="988"/>
      <c r="G21" s="989"/>
      <c r="H21" s="988"/>
      <c r="I21" s="989"/>
      <c r="J21" s="990" t="str">
        <f t="shared" si="1"/>
        <v/>
      </c>
      <c r="K21" s="986" t="str">
        <f t="shared" si="2"/>
        <v/>
      </c>
      <c r="L21" s="985"/>
    </row>
    <row r="22" spans="1:12">
      <c r="A22" s="986" t="str">
        <f t="shared" si="0"/>
        <v/>
      </c>
      <c r="B22" s="987"/>
      <c r="C22" s="985" t="str">
        <f>IF(B22="","",IFERROR(VLOOKUP(B22,案件管理!A:D,4,FALSE),""))</f>
        <v/>
      </c>
      <c r="D22" s="985" t="str">
        <f>IF(B22="","",IFERROR(VLOOKUP(B22,案件管理!A:C,3,FALSE),""))</f>
        <v/>
      </c>
      <c r="E22" s="987"/>
      <c r="F22" s="988"/>
      <c r="G22" s="989"/>
      <c r="H22" s="988"/>
      <c r="I22" s="989"/>
      <c r="J22" s="990" t="str">
        <f t="shared" si="1"/>
        <v/>
      </c>
      <c r="K22" s="986" t="str">
        <f t="shared" si="2"/>
        <v/>
      </c>
      <c r="L22" s="985"/>
    </row>
    <row r="23" spans="1:12">
      <c r="A23" s="986" t="str">
        <f t="shared" si="0"/>
        <v/>
      </c>
      <c r="B23" s="987"/>
      <c r="C23" s="985" t="str">
        <f>IF(B23="","",IFERROR(VLOOKUP(B23,案件管理!A:D,4,FALSE),""))</f>
        <v/>
      </c>
      <c r="D23" s="985" t="str">
        <f>IF(B23="","",IFERROR(VLOOKUP(B23,案件管理!A:C,3,FALSE),""))</f>
        <v/>
      </c>
      <c r="E23" s="987"/>
      <c r="F23" s="988"/>
      <c r="G23" s="989"/>
      <c r="H23" s="988"/>
      <c r="I23" s="989"/>
      <c r="J23" s="990" t="str">
        <f t="shared" si="1"/>
        <v/>
      </c>
      <c r="K23" s="986" t="str">
        <f t="shared" si="2"/>
        <v/>
      </c>
      <c r="L23" s="985"/>
    </row>
    <row r="24" spans="1:12">
      <c r="A24" s="986" t="str">
        <f t="shared" si="0"/>
        <v/>
      </c>
      <c r="B24" s="987"/>
      <c r="C24" s="985" t="str">
        <f>IF(B24="","",IFERROR(VLOOKUP(B24,案件管理!A:D,4,FALSE),""))</f>
        <v/>
      </c>
      <c r="D24" s="985" t="str">
        <f>IF(B24="","",IFERROR(VLOOKUP(B24,案件管理!A:C,3,FALSE),""))</f>
        <v/>
      </c>
      <c r="E24" s="987"/>
      <c r="F24" s="988"/>
      <c r="G24" s="989"/>
      <c r="H24" s="988"/>
      <c r="I24" s="989"/>
      <c r="J24" s="990" t="str">
        <f t="shared" si="1"/>
        <v/>
      </c>
      <c r="K24" s="986" t="str">
        <f t="shared" si="2"/>
        <v/>
      </c>
      <c r="L24" s="985"/>
    </row>
    <row r="25" spans="1:12">
      <c r="A25" s="986" t="str">
        <f t="shared" si="0"/>
        <v/>
      </c>
      <c r="B25" s="987"/>
      <c r="C25" s="985" t="str">
        <f>IF(B25="","",IFERROR(VLOOKUP(B25,案件管理!A:D,4,FALSE),""))</f>
        <v/>
      </c>
      <c r="D25" s="985" t="str">
        <f>IF(B25="","",IFERROR(VLOOKUP(B25,案件管理!A:C,3,FALSE),""))</f>
        <v/>
      </c>
      <c r="E25" s="987"/>
      <c r="F25" s="988"/>
      <c r="G25" s="989"/>
      <c r="H25" s="988"/>
      <c r="I25" s="989"/>
      <c r="J25" s="990" t="str">
        <f t="shared" si="1"/>
        <v/>
      </c>
      <c r="K25" s="986" t="str">
        <f t="shared" si="2"/>
        <v/>
      </c>
      <c r="L25" s="985"/>
    </row>
    <row r="26" spans="1:12">
      <c r="A26" s="986" t="str">
        <f t="shared" si="0"/>
        <v/>
      </c>
      <c r="B26" s="987"/>
      <c r="C26" s="985" t="str">
        <f>IF(B26="","",IFERROR(VLOOKUP(B26,案件管理!A:D,4,FALSE),""))</f>
        <v/>
      </c>
      <c r="D26" s="985" t="str">
        <f>IF(B26="","",IFERROR(VLOOKUP(B26,案件管理!A:C,3,FALSE),""))</f>
        <v/>
      </c>
      <c r="E26" s="987"/>
      <c r="F26" s="988"/>
      <c r="G26" s="989"/>
      <c r="H26" s="988"/>
      <c r="I26" s="989"/>
      <c r="J26" s="990" t="str">
        <f t="shared" si="1"/>
        <v/>
      </c>
      <c r="K26" s="986" t="str">
        <f t="shared" si="2"/>
        <v/>
      </c>
      <c r="L26" s="985"/>
    </row>
    <row r="27" spans="1:12">
      <c r="A27" s="986" t="str">
        <f t="shared" si="0"/>
        <v/>
      </c>
      <c r="B27" s="987"/>
      <c r="C27" s="985" t="str">
        <f>IF(B27="","",IFERROR(VLOOKUP(B27,案件管理!A:D,4,FALSE),""))</f>
        <v/>
      </c>
      <c r="D27" s="985" t="str">
        <f>IF(B27="","",IFERROR(VLOOKUP(B27,案件管理!A:C,3,FALSE),""))</f>
        <v/>
      </c>
      <c r="E27" s="987"/>
      <c r="F27" s="988"/>
      <c r="G27" s="989"/>
      <c r="H27" s="988"/>
      <c r="I27" s="989"/>
      <c r="J27" s="990" t="str">
        <f t="shared" si="1"/>
        <v/>
      </c>
      <c r="K27" s="986" t="str">
        <f t="shared" si="2"/>
        <v/>
      </c>
      <c r="L27" s="985"/>
    </row>
    <row r="28" spans="1:12">
      <c r="A28" s="986" t="str">
        <f t="shared" si="0"/>
        <v/>
      </c>
      <c r="B28" s="987"/>
      <c r="C28" s="985" t="str">
        <f>IF(B28="","",IFERROR(VLOOKUP(B28,案件管理!A:D,4,FALSE),""))</f>
        <v/>
      </c>
      <c r="D28" s="985" t="str">
        <f>IF(B28="","",IFERROR(VLOOKUP(B28,案件管理!A:C,3,FALSE),""))</f>
        <v/>
      </c>
      <c r="E28" s="987"/>
      <c r="F28" s="988"/>
      <c r="G28" s="989"/>
      <c r="H28" s="988"/>
      <c r="I28" s="989"/>
      <c r="J28" s="990" t="str">
        <f t="shared" si="1"/>
        <v/>
      </c>
      <c r="K28" s="986" t="str">
        <f t="shared" si="2"/>
        <v/>
      </c>
      <c r="L28" s="985"/>
    </row>
    <row r="29" spans="1:12">
      <c r="A29" s="986" t="str">
        <f t="shared" si="0"/>
        <v/>
      </c>
      <c r="B29" s="987"/>
      <c r="C29" s="985" t="str">
        <f>IF(B29="","",IFERROR(VLOOKUP(B29,案件管理!A:D,4,FALSE),""))</f>
        <v/>
      </c>
      <c r="D29" s="985" t="str">
        <f>IF(B29="","",IFERROR(VLOOKUP(B29,案件管理!A:C,3,FALSE),""))</f>
        <v/>
      </c>
      <c r="E29" s="987"/>
      <c r="F29" s="988"/>
      <c r="G29" s="989"/>
      <c r="H29" s="988"/>
      <c r="I29" s="989"/>
      <c r="J29" s="990" t="str">
        <f t="shared" si="1"/>
        <v/>
      </c>
      <c r="K29" s="986" t="str">
        <f t="shared" si="2"/>
        <v/>
      </c>
      <c r="L29" s="985"/>
    </row>
    <row r="30" spans="1:12">
      <c r="A30" s="986" t="str">
        <f t="shared" si="0"/>
        <v/>
      </c>
      <c r="B30" s="987"/>
      <c r="C30" s="985" t="str">
        <f>IF(B30="","",IFERROR(VLOOKUP(B30,案件管理!A:D,4,FALSE),""))</f>
        <v/>
      </c>
      <c r="D30" s="985" t="str">
        <f>IF(B30="","",IFERROR(VLOOKUP(B30,案件管理!A:C,3,FALSE),""))</f>
        <v/>
      </c>
      <c r="E30" s="987"/>
      <c r="F30" s="988"/>
      <c r="G30" s="989"/>
      <c r="H30" s="988"/>
      <c r="I30" s="989"/>
      <c r="J30" s="990" t="str">
        <f t="shared" si="1"/>
        <v/>
      </c>
      <c r="K30" s="986" t="str">
        <f t="shared" si="2"/>
        <v/>
      </c>
      <c r="L30" s="985"/>
    </row>
    <row r="31" spans="1:12">
      <c r="A31" s="986" t="str">
        <f t="shared" si="0"/>
        <v/>
      </c>
      <c r="B31" s="987"/>
      <c r="C31" s="985" t="str">
        <f>IF(B31="","",IFERROR(VLOOKUP(B31,案件管理!A:D,4,FALSE),""))</f>
        <v/>
      </c>
      <c r="D31" s="985" t="str">
        <f>IF(B31="","",IFERROR(VLOOKUP(B31,案件管理!A:C,3,FALSE),""))</f>
        <v/>
      </c>
      <c r="E31" s="987"/>
      <c r="F31" s="988"/>
      <c r="G31" s="989"/>
      <c r="H31" s="988"/>
      <c r="I31" s="989"/>
      <c r="J31" s="990" t="str">
        <f t="shared" si="1"/>
        <v/>
      </c>
      <c r="K31" s="986" t="str">
        <f t="shared" si="2"/>
        <v/>
      </c>
      <c r="L31" s="985"/>
    </row>
    <row r="32" spans="1:12">
      <c r="A32" s="986" t="str">
        <f t="shared" si="0"/>
        <v/>
      </c>
      <c r="B32" s="987"/>
      <c r="C32" s="985" t="str">
        <f>IF(B32="","",IFERROR(VLOOKUP(B32,案件管理!A:D,4,FALSE),""))</f>
        <v/>
      </c>
      <c r="D32" s="985" t="str">
        <f>IF(B32="","",IFERROR(VLOOKUP(B32,案件管理!A:C,3,FALSE),""))</f>
        <v/>
      </c>
      <c r="E32" s="987"/>
      <c r="F32" s="988"/>
      <c r="G32" s="989"/>
      <c r="H32" s="988"/>
      <c r="I32" s="989"/>
      <c r="J32" s="990" t="str">
        <f t="shared" si="1"/>
        <v/>
      </c>
      <c r="K32" s="986" t="str">
        <f t="shared" si="2"/>
        <v/>
      </c>
      <c r="L32" s="985"/>
    </row>
    <row r="33" spans="1:12">
      <c r="A33" s="986" t="str">
        <f t="shared" si="0"/>
        <v/>
      </c>
      <c r="B33" s="987"/>
      <c r="C33" s="985" t="str">
        <f>IF(B33="","",IFERROR(VLOOKUP(B33,案件管理!A:D,4,FALSE),""))</f>
        <v/>
      </c>
      <c r="D33" s="985" t="str">
        <f>IF(B33="","",IFERROR(VLOOKUP(B33,案件管理!A:C,3,FALSE),""))</f>
        <v/>
      </c>
      <c r="E33" s="987"/>
      <c r="F33" s="988"/>
      <c r="G33" s="989"/>
      <c r="H33" s="988"/>
      <c r="I33" s="989"/>
      <c r="J33" s="990" t="str">
        <f t="shared" si="1"/>
        <v/>
      </c>
      <c r="K33" s="986" t="str">
        <f t="shared" si="2"/>
        <v/>
      </c>
      <c r="L33" s="985"/>
    </row>
    <row r="34" spans="1:12">
      <c r="A34" s="986" t="str">
        <f t="shared" si="0"/>
        <v/>
      </c>
      <c r="B34" s="987"/>
      <c r="C34" s="985" t="str">
        <f>IF(B34="","",IFERROR(VLOOKUP(B34,案件管理!A:D,4,FALSE),""))</f>
        <v/>
      </c>
      <c r="D34" s="985" t="str">
        <f>IF(B34="","",IFERROR(VLOOKUP(B34,案件管理!A:C,3,FALSE),""))</f>
        <v/>
      </c>
      <c r="E34" s="987"/>
      <c r="F34" s="988"/>
      <c r="G34" s="989"/>
      <c r="H34" s="988"/>
      <c r="I34" s="989"/>
      <c r="J34" s="990" t="str">
        <f t="shared" si="1"/>
        <v/>
      </c>
      <c r="K34" s="986" t="str">
        <f t="shared" si="2"/>
        <v/>
      </c>
      <c r="L34" s="985"/>
    </row>
    <row r="35" spans="1:12">
      <c r="A35" s="986" t="str">
        <f t="shared" si="0"/>
        <v/>
      </c>
      <c r="B35" s="987"/>
      <c r="C35" s="985" t="str">
        <f>IF(B35="","",IFERROR(VLOOKUP(B35,案件管理!A:D,4,FALSE),""))</f>
        <v/>
      </c>
      <c r="D35" s="985" t="str">
        <f>IF(B35="","",IFERROR(VLOOKUP(B35,案件管理!A:C,3,FALSE),""))</f>
        <v/>
      </c>
      <c r="E35" s="987"/>
      <c r="F35" s="988"/>
      <c r="G35" s="989"/>
      <c r="H35" s="988"/>
      <c r="I35" s="989"/>
      <c r="J35" s="990" t="str">
        <f t="shared" si="1"/>
        <v/>
      </c>
      <c r="K35" s="986" t="str">
        <f t="shared" si="2"/>
        <v/>
      </c>
      <c r="L35" s="985"/>
    </row>
    <row r="36" spans="1:12">
      <c r="A36" s="986" t="str">
        <f t="shared" si="0"/>
        <v/>
      </c>
      <c r="B36" s="987"/>
      <c r="C36" s="985" t="str">
        <f>IF(B36="","",IFERROR(VLOOKUP(B36,案件管理!A:D,4,FALSE),""))</f>
        <v/>
      </c>
      <c r="D36" s="985" t="str">
        <f>IF(B36="","",IFERROR(VLOOKUP(B36,案件管理!A:C,3,FALSE),""))</f>
        <v/>
      </c>
      <c r="E36" s="987"/>
      <c r="F36" s="988"/>
      <c r="G36" s="989"/>
      <c r="H36" s="988"/>
      <c r="I36" s="989"/>
      <c r="J36" s="990" t="str">
        <f t="shared" si="1"/>
        <v/>
      </c>
      <c r="K36" s="986" t="str">
        <f t="shared" si="2"/>
        <v/>
      </c>
      <c r="L36" s="985"/>
    </row>
    <row r="37" spans="1:12">
      <c r="A37" s="986" t="str">
        <f t="shared" si="0"/>
        <v/>
      </c>
      <c r="B37" s="987"/>
      <c r="C37" s="985" t="str">
        <f>IF(B37="","",IFERROR(VLOOKUP(B37,案件管理!A:D,4,FALSE),""))</f>
        <v/>
      </c>
      <c r="D37" s="985" t="str">
        <f>IF(B37="","",IFERROR(VLOOKUP(B37,案件管理!A:C,3,FALSE),""))</f>
        <v/>
      </c>
      <c r="E37" s="987"/>
      <c r="F37" s="988"/>
      <c r="G37" s="989"/>
      <c r="H37" s="988"/>
      <c r="I37" s="989"/>
      <c r="J37" s="990" t="str">
        <f t="shared" si="1"/>
        <v/>
      </c>
      <c r="K37" s="986" t="str">
        <f t="shared" si="2"/>
        <v/>
      </c>
      <c r="L37" s="985"/>
    </row>
    <row r="38" spans="1:12">
      <c r="A38" s="986" t="str">
        <f t="shared" si="0"/>
        <v/>
      </c>
      <c r="B38" s="987"/>
      <c r="C38" s="985" t="str">
        <f>IF(B38="","",IFERROR(VLOOKUP(B38,案件管理!A:D,4,FALSE),""))</f>
        <v/>
      </c>
      <c r="D38" s="985" t="str">
        <f>IF(B38="","",IFERROR(VLOOKUP(B38,案件管理!A:C,3,FALSE),""))</f>
        <v/>
      </c>
      <c r="E38" s="987"/>
      <c r="F38" s="988"/>
      <c r="G38" s="989"/>
      <c r="H38" s="988"/>
      <c r="I38" s="989"/>
      <c r="J38" s="990" t="str">
        <f t="shared" si="1"/>
        <v/>
      </c>
      <c r="K38" s="986" t="str">
        <f t="shared" si="2"/>
        <v/>
      </c>
      <c r="L38" s="985"/>
    </row>
    <row r="39" spans="1:12">
      <c r="A39" s="986" t="str">
        <f t="shared" si="0"/>
        <v/>
      </c>
      <c r="B39" s="987"/>
      <c r="C39" s="985" t="str">
        <f>IF(B39="","",IFERROR(VLOOKUP(B39,案件管理!A:D,4,FALSE),""))</f>
        <v/>
      </c>
      <c r="D39" s="985" t="str">
        <f>IF(B39="","",IFERROR(VLOOKUP(B39,案件管理!A:C,3,FALSE),""))</f>
        <v/>
      </c>
      <c r="E39" s="987"/>
      <c r="F39" s="988"/>
      <c r="G39" s="989"/>
      <c r="H39" s="988"/>
      <c r="I39" s="989"/>
      <c r="J39" s="990" t="str">
        <f t="shared" si="1"/>
        <v/>
      </c>
      <c r="K39" s="986" t="str">
        <f t="shared" si="2"/>
        <v/>
      </c>
      <c r="L39" s="985"/>
    </row>
    <row r="40" spans="1:12">
      <c r="A40" s="986" t="str">
        <f t="shared" si="0"/>
        <v/>
      </c>
      <c r="B40" s="987"/>
      <c r="C40" s="985" t="str">
        <f>IF(B40="","",IFERROR(VLOOKUP(B40,案件管理!A:D,4,FALSE),""))</f>
        <v/>
      </c>
      <c r="D40" s="985" t="str">
        <f>IF(B40="","",IFERROR(VLOOKUP(B40,案件管理!A:C,3,FALSE),""))</f>
        <v/>
      </c>
      <c r="E40" s="987"/>
      <c r="F40" s="988"/>
      <c r="G40" s="989"/>
      <c r="H40" s="988"/>
      <c r="I40" s="989"/>
      <c r="J40" s="990" t="str">
        <f t="shared" si="1"/>
        <v/>
      </c>
      <c r="K40" s="986" t="str">
        <f t="shared" si="2"/>
        <v/>
      </c>
      <c r="L40" s="985"/>
    </row>
    <row r="41" spans="1:12">
      <c r="A41" s="986" t="str">
        <f t="shared" si="0"/>
        <v/>
      </c>
      <c r="B41" s="987"/>
      <c r="C41" s="985" t="str">
        <f>IF(B41="","",IFERROR(VLOOKUP(B41,案件管理!A:D,4,FALSE),""))</f>
        <v/>
      </c>
      <c r="D41" s="985" t="str">
        <f>IF(B41="","",IFERROR(VLOOKUP(B41,案件管理!A:C,3,FALSE),""))</f>
        <v/>
      </c>
      <c r="E41" s="987"/>
      <c r="F41" s="988"/>
      <c r="G41" s="989"/>
      <c r="H41" s="988"/>
      <c r="I41" s="989"/>
      <c r="J41" s="990" t="str">
        <f t="shared" si="1"/>
        <v/>
      </c>
      <c r="K41" s="986" t="str">
        <f t="shared" si="2"/>
        <v/>
      </c>
      <c r="L41" s="985"/>
    </row>
    <row r="42" spans="1:12">
      <c r="A42" s="986" t="str">
        <f t="shared" si="0"/>
        <v/>
      </c>
      <c r="B42" s="987"/>
      <c r="C42" s="985" t="str">
        <f>IF(B42="","",IFERROR(VLOOKUP(B42,案件管理!A:D,4,FALSE),""))</f>
        <v/>
      </c>
      <c r="D42" s="985" t="str">
        <f>IF(B42="","",IFERROR(VLOOKUP(B42,案件管理!A:C,3,FALSE),""))</f>
        <v/>
      </c>
      <c r="E42" s="987"/>
      <c r="F42" s="988"/>
      <c r="G42" s="989"/>
      <c r="H42" s="988"/>
      <c r="I42" s="989"/>
      <c r="J42" s="990" t="str">
        <f t="shared" si="1"/>
        <v/>
      </c>
      <c r="K42" s="986" t="str">
        <f t="shared" si="2"/>
        <v/>
      </c>
      <c r="L42" s="985"/>
    </row>
    <row r="43" spans="1:12">
      <c r="A43" s="986" t="str">
        <f t="shared" si="0"/>
        <v/>
      </c>
      <c r="B43" s="987"/>
      <c r="C43" s="985" t="str">
        <f>IF(B43="","",IFERROR(VLOOKUP(B43,案件管理!A:D,4,FALSE),""))</f>
        <v/>
      </c>
      <c r="D43" s="985" t="str">
        <f>IF(B43="","",IFERROR(VLOOKUP(B43,案件管理!A:C,3,FALSE),""))</f>
        <v/>
      </c>
      <c r="E43" s="987"/>
      <c r="F43" s="988"/>
      <c r="G43" s="989"/>
      <c r="H43" s="988"/>
      <c r="I43" s="989"/>
      <c r="J43" s="990" t="str">
        <f t="shared" si="1"/>
        <v/>
      </c>
      <c r="K43" s="986" t="str">
        <f t="shared" si="2"/>
        <v/>
      </c>
      <c r="L43" s="985"/>
    </row>
    <row r="44" spans="1:12">
      <c r="A44" s="986" t="str">
        <f t="shared" si="0"/>
        <v/>
      </c>
      <c r="B44" s="987"/>
      <c r="C44" s="985" t="str">
        <f>IF(B44="","",IFERROR(VLOOKUP(B44,案件管理!A:D,4,FALSE),""))</f>
        <v/>
      </c>
      <c r="D44" s="985" t="str">
        <f>IF(B44="","",IFERROR(VLOOKUP(B44,案件管理!A:C,3,FALSE),""))</f>
        <v/>
      </c>
      <c r="E44" s="987"/>
      <c r="F44" s="988"/>
      <c r="G44" s="989"/>
      <c r="H44" s="988"/>
      <c r="I44" s="989"/>
      <c r="J44" s="990" t="str">
        <f t="shared" si="1"/>
        <v/>
      </c>
      <c r="K44" s="986" t="str">
        <f t="shared" si="2"/>
        <v/>
      </c>
      <c r="L44" s="985"/>
    </row>
    <row r="45" spans="1:12">
      <c r="A45" s="986" t="str">
        <f t="shared" si="0"/>
        <v/>
      </c>
      <c r="B45" s="987"/>
      <c r="C45" s="985" t="str">
        <f>IF(B45="","",IFERROR(VLOOKUP(B45,案件管理!A:D,4,FALSE),""))</f>
        <v/>
      </c>
      <c r="D45" s="985" t="str">
        <f>IF(B45="","",IFERROR(VLOOKUP(B45,案件管理!A:C,3,FALSE),""))</f>
        <v/>
      </c>
      <c r="E45" s="987"/>
      <c r="F45" s="988"/>
      <c r="G45" s="989"/>
      <c r="H45" s="988"/>
      <c r="I45" s="989"/>
      <c r="J45" s="990" t="str">
        <f t="shared" si="1"/>
        <v/>
      </c>
      <c r="K45" s="986" t="str">
        <f t="shared" si="2"/>
        <v/>
      </c>
      <c r="L45" s="985"/>
    </row>
    <row r="46" spans="1:12">
      <c r="A46" s="986" t="str">
        <f t="shared" si="0"/>
        <v/>
      </c>
      <c r="B46" s="987"/>
      <c r="C46" s="985" t="str">
        <f>IF(B46="","",IFERROR(VLOOKUP(B46,案件管理!A:D,4,FALSE),""))</f>
        <v/>
      </c>
      <c r="D46" s="985" t="str">
        <f>IF(B46="","",IFERROR(VLOOKUP(B46,案件管理!A:C,3,FALSE),""))</f>
        <v/>
      </c>
      <c r="E46" s="987"/>
      <c r="F46" s="988"/>
      <c r="G46" s="989"/>
      <c r="H46" s="988"/>
      <c r="I46" s="989"/>
      <c r="J46" s="990" t="str">
        <f t="shared" si="1"/>
        <v/>
      </c>
      <c r="K46" s="986" t="str">
        <f t="shared" si="2"/>
        <v/>
      </c>
      <c r="L46" s="985"/>
    </row>
    <row r="47" spans="1:12">
      <c r="A47" s="986" t="str">
        <f t="shared" si="0"/>
        <v/>
      </c>
      <c r="B47" s="987"/>
      <c r="C47" s="985" t="str">
        <f>IF(B47="","",IFERROR(VLOOKUP(B47,案件管理!A:D,4,FALSE),""))</f>
        <v/>
      </c>
      <c r="D47" s="985" t="str">
        <f>IF(B47="","",IFERROR(VLOOKUP(B47,案件管理!A:C,3,FALSE),""))</f>
        <v/>
      </c>
      <c r="E47" s="987"/>
      <c r="F47" s="988"/>
      <c r="G47" s="989"/>
      <c r="H47" s="988"/>
      <c r="I47" s="989"/>
      <c r="J47" s="990" t="str">
        <f t="shared" si="1"/>
        <v/>
      </c>
      <c r="K47" s="986" t="str">
        <f t="shared" si="2"/>
        <v/>
      </c>
      <c r="L47" s="985"/>
    </row>
    <row r="48" spans="1:12">
      <c r="A48" s="986" t="str">
        <f t="shared" si="0"/>
        <v/>
      </c>
      <c r="B48" s="987"/>
      <c r="C48" s="985" t="str">
        <f>IF(B48="","",IFERROR(VLOOKUP(B48,案件管理!A:D,4,FALSE),""))</f>
        <v/>
      </c>
      <c r="D48" s="985" t="str">
        <f>IF(B48="","",IFERROR(VLOOKUP(B48,案件管理!A:C,3,FALSE),""))</f>
        <v/>
      </c>
      <c r="E48" s="987"/>
      <c r="F48" s="988"/>
      <c r="G48" s="989"/>
      <c r="H48" s="988"/>
      <c r="I48" s="989"/>
      <c r="J48" s="990" t="str">
        <f t="shared" si="1"/>
        <v/>
      </c>
      <c r="K48" s="986" t="str">
        <f t="shared" si="2"/>
        <v/>
      </c>
      <c r="L48" s="985"/>
    </row>
    <row r="49" spans="1:12">
      <c r="A49" s="986" t="str">
        <f t="shared" si="0"/>
        <v/>
      </c>
      <c r="B49" s="987"/>
      <c r="C49" s="985" t="str">
        <f>IF(B49="","",IFERROR(VLOOKUP(B49,案件管理!A:D,4,FALSE),""))</f>
        <v/>
      </c>
      <c r="D49" s="985" t="str">
        <f>IF(B49="","",IFERROR(VLOOKUP(B49,案件管理!A:C,3,FALSE),""))</f>
        <v/>
      </c>
      <c r="E49" s="987"/>
      <c r="F49" s="988"/>
      <c r="G49" s="989"/>
      <c r="H49" s="988"/>
      <c r="I49" s="989"/>
      <c r="J49" s="990" t="str">
        <f t="shared" si="1"/>
        <v/>
      </c>
      <c r="K49" s="986" t="str">
        <f t="shared" si="2"/>
        <v/>
      </c>
      <c r="L49" s="985"/>
    </row>
    <row r="50" spans="1:12">
      <c r="A50" s="986" t="str">
        <f t="shared" si="0"/>
        <v/>
      </c>
      <c r="B50" s="987"/>
      <c r="C50" s="985" t="str">
        <f>IF(B50="","",IFERROR(VLOOKUP(B50,案件管理!A:D,4,FALSE),""))</f>
        <v/>
      </c>
      <c r="D50" s="985" t="str">
        <f>IF(B50="","",IFERROR(VLOOKUP(B50,案件管理!A:C,3,FALSE),""))</f>
        <v/>
      </c>
      <c r="E50" s="987"/>
      <c r="F50" s="988"/>
      <c r="G50" s="989"/>
      <c r="H50" s="988"/>
      <c r="I50" s="989"/>
      <c r="J50" s="990" t="str">
        <f t="shared" si="1"/>
        <v/>
      </c>
      <c r="K50" s="986" t="str">
        <f t="shared" si="2"/>
        <v/>
      </c>
      <c r="L50" s="985"/>
    </row>
    <row r="51" spans="1:12">
      <c r="A51" s="986" t="str">
        <f t="shared" si="0"/>
        <v/>
      </c>
      <c r="B51" s="987"/>
      <c r="C51" s="985" t="str">
        <f>IF(B51="","",IFERROR(VLOOKUP(B51,案件管理!A:D,4,FALSE),""))</f>
        <v/>
      </c>
      <c r="D51" s="985" t="str">
        <f>IF(B51="","",IFERROR(VLOOKUP(B51,案件管理!A:C,3,FALSE),""))</f>
        <v/>
      </c>
      <c r="E51" s="987"/>
      <c r="F51" s="988"/>
      <c r="G51" s="989"/>
      <c r="H51" s="988"/>
      <c r="I51" s="989"/>
      <c r="J51" s="990" t="str">
        <f t="shared" si="1"/>
        <v/>
      </c>
      <c r="K51" s="986" t="str">
        <f t="shared" si="2"/>
        <v/>
      </c>
      <c r="L51" s="985"/>
    </row>
    <row r="52" spans="1:12">
      <c r="A52" s="986" t="str">
        <f t="shared" si="0"/>
        <v/>
      </c>
      <c r="B52" s="987"/>
      <c r="C52" s="985" t="str">
        <f>IF(B52="","",IFERROR(VLOOKUP(B52,案件管理!A:D,4,FALSE),""))</f>
        <v/>
      </c>
      <c r="D52" s="985" t="str">
        <f>IF(B52="","",IFERROR(VLOOKUP(B52,案件管理!A:C,3,FALSE),""))</f>
        <v/>
      </c>
      <c r="E52" s="987"/>
      <c r="F52" s="988"/>
      <c r="G52" s="989"/>
      <c r="H52" s="988"/>
      <c r="I52" s="989"/>
      <c r="J52" s="990" t="str">
        <f t="shared" si="1"/>
        <v/>
      </c>
      <c r="K52" s="986" t="str">
        <f t="shared" si="2"/>
        <v/>
      </c>
      <c r="L52" s="985"/>
    </row>
    <row r="53" spans="1:12">
      <c r="A53" s="986" t="str">
        <f t="shared" si="0"/>
        <v/>
      </c>
      <c r="B53" s="987"/>
      <c r="C53" s="985" t="str">
        <f>IF(B53="","",IFERROR(VLOOKUP(B53,案件管理!A:D,4,FALSE),""))</f>
        <v/>
      </c>
      <c r="D53" s="985" t="str">
        <f>IF(B53="","",IFERROR(VLOOKUP(B53,案件管理!A:C,3,FALSE),""))</f>
        <v/>
      </c>
      <c r="E53" s="987"/>
      <c r="F53" s="988"/>
      <c r="G53" s="989"/>
      <c r="H53" s="988"/>
      <c r="I53" s="989"/>
      <c r="J53" s="990" t="str">
        <f t="shared" si="1"/>
        <v/>
      </c>
      <c r="K53" s="986" t="str">
        <f t="shared" si="2"/>
        <v/>
      </c>
      <c r="L53" s="985"/>
    </row>
    <row r="54" spans="1:12">
      <c r="A54" s="986" t="str">
        <f t="shared" si="0"/>
        <v/>
      </c>
      <c r="B54" s="987"/>
      <c r="C54" s="985" t="str">
        <f>IF(B54="","",IFERROR(VLOOKUP(B54,案件管理!A:D,4,FALSE),""))</f>
        <v/>
      </c>
      <c r="D54" s="985" t="str">
        <f>IF(B54="","",IFERROR(VLOOKUP(B54,案件管理!A:C,3,FALSE),""))</f>
        <v/>
      </c>
      <c r="E54" s="987"/>
      <c r="F54" s="988"/>
      <c r="G54" s="989"/>
      <c r="H54" s="988"/>
      <c r="I54" s="989"/>
      <c r="J54" s="990" t="str">
        <f t="shared" si="1"/>
        <v/>
      </c>
      <c r="K54" s="986" t="str">
        <f t="shared" si="2"/>
        <v/>
      </c>
      <c r="L54" s="985"/>
    </row>
    <row r="55" spans="1:12">
      <c r="A55" s="986" t="str">
        <f t="shared" si="0"/>
        <v/>
      </c>
      <c r="B55" s="987"/>
      <c r="C55" s="985" t="str">
        <f>IF(B55="","",IFERROR(VLOOKUP(B55,案件管理!A:D,4,FALSE),""))</f>
        <v/>
      </c>
      <c r="D55" s="985" t="str">
        <f>IF(B55="","",IFERROR(VLOOKUP(B55,案件管理!A:C,3,FALSE),""))</f>
        <v/>
      </c>
      <c r="E55" s="987"/>
      <c r="F55" s="988"/>
      <c r="G55" s="989"/>
      <c r="H55" s="988"/>
      <c r="I55" s="989"/>
      <c r="J55" s="990" t="str">
        <f t="shared" si="1"/>
        <v/>
      </c>
      <c r="K55" s="986" t="str">
        <f t="shared" si="2"/>
        <v/>
      </c>
      <c r="L55" s="985"/>
    </row>
    <row r="56" spans="1:12">
      <c r="A56" s="986" t="str">
        <f t="shared" si="0"/>
        <v/>
      </c>
      <c r="B56" s="987"/>
      <c r="C56" s="985" t="str">
        <f>IF(B56="","",IFERROR(VLOOKUP(B56,案件管理!A:D,4,FALSE),""))</f>
        <v/>
      </c>
      <c r="D56" s="985" t="str">
        <f>IF(B56="","",IFERROR(VLOOKUP(B56,案件管理!A:C,3,FALSE),""))</f>
        <v/>
      </c>
      <c r="E56" s="987"/>
      <c r="F56" s="988"/>
      <c r="G56" s="989"/>
      <c r="H56" s="988"/>
      <c r="I56" s="989"/>
      <c r="J56" s="990" t="str">
        <f t="shared" si="1"/>
        <v/>
      </c>
      <c r="K56" s="986" t="str">
        <f t="shared" si="2"/>
        <v/>
      </c>
      <c r="L56" s="985"/>
    </row>
    <row r="57" spans="1:12">
      <c r="A57" s="986" t="str">
        <f t="shared" si="0"/>
        <v/>
      </c>
      <c r="B57" s="987"/>
      <c r="C57" s="985" t="str">
        <f>IF(B57="","",IFERROR(VLOOKUP(B57,案件管理!A:D,4,FALSE),""))</f>
        <v/>
      </c>
      <c r="D57" s="985" t="str">
        <f>IF(B57="","",IFERROR(VLOOKUP(B57,案件管理!A:C,3,FALSE),""))</f>
        <v/>
      </c>
      <c r="E57" s="987"/>
      <c r="F57" s="988"/>
      <c r="G57" s="989"/>
      <c r="H57" s="988"/>
      <c r="I57" s="989"/>
      <c r="J57" s="990" t="str">
        <f t="shared" si="1"/>
        <v/>
      </c>
      <c r="K57" s="986" t="str">
        <f t="shared" si="2"/>
        <v/>
      </c>
      <c r="L57" s="985"/>
    </row>
    <row r="58" spans="1:12">
      <c r="A58" s="986" t="str">
        <f t="shared" si="0"/>
        <v/>
      </c>
      <c r="B58" s="987"/>
      <c r="C58" s="985" t="str">
        <f>IF(B58="","",IFERROR(VLOOKUP(B58,案件管理!A:D,4,FALSE),""))</f>
        <v/>
      </c>
      <c r="D58" s="985" t="str">
        <f>IF(B58="","",IFERROR(VLOOKUP(B58,案件管理!A:C,3,FALSE),""))</f>
        <v/>
      </c>
      <c r="E58" s="987"/>
      <c r="F58" s="988"/>
      <c r="G58" s="989"/>
      <c r="H58" s="988"/>
      <c r="I58" s="989"/>
      <c r="J58" s="990" t="str">
        <f t="shared" si="1"/>
        <v/>
      </c>
      <c r="K58" s="986" t="str">
        <f t="shared" si="2"/>
        <v/>
      </c>
      <c r="L58" s="985"/>
    </row>
    <row r="59" spans="1:12">
      <c r="A59" s="986" t="str">
        <f t="shared" si="0"/>
        <v/>
      </c>
      <c r="B59" s="987"/>
      <c r="C59" s="985" t="str">
        <f>IF(B59="","",IFERROR(VLOOKUP(B59,案件管理!A:D,4,FALSE),""))</f>
        <v/>
      </c>
      <c r="D59" s="985" t="str">
        <f>IF(B59="","",IFERROR(VLOOKUP(B59,案件管理!A:C,3,FALSE),""))</f>
        <v/>
      </c>
      <c r="E59" s="987"/>
      <c r="F59" s="988"/>
      <c r="G59" s="989"/>
      <c r="H59" s="988"/>
      <c r="I59" s="989"/>
      <c r="J59" s="990" t="str">
        <f t="shared" si="1"/>
        <v/>
      </c>
      <c r="K59" s="986" t="str">
        <f t="shared" si="2"/>
        <v/>
      </c>
      <c r="L59" s="985"/>
    </row>
    <row r="60" spans="1:12">
      <c r="A60" s="986" t="str">
        <f t="shared" si="0"/>
        <v/>
      </c>
      <c r="B60" s="987"/>
      <c r="C60" s="985" t="str">
        <f>IF(B60="","",IFERROR(VLOOKUP(B60,案件管理!A:D,4,FALSE),""))</f>
        <v/>
      </c>
      <c r="D60" s="985" t="str">
        <f>IF(B60="","",IFERROR(VLOOKUP(B60,案件管理!A:C,3,FALSE),""))</f>
        <v/>
      </c>
      <c r="E60" s="987"/>
      <c r="F60" s="988"/>
      <c r="G60" s="989"/>
      <c r="H60" s="988"/>
      <c r="I60" s="989"/>
      <c r="J60" s="990" t="str">
        <f t="shared" si="1"/>
        <v/>
      </c>
      <c r="K60" s="986" t="str">
        <f t="shared" si="2"/>
        <v/>
      </c>
      <c r="L60" s="985"/>
    </row>
    <row r="61" spans="1:12">
      <c r="A61" s="986" t="str">
        <f t="shared" si="0"/>
        <v/>
      </c>
      <c r="B61" s="987"/>
      <c r="C61" s="985" t="str">
        <f>IF(B61="","",IFERROR(VLOOKUP(B61,案件管理!A:D,4,FALSE),""))</f>
        <v/>
      </c>
      <c r="D61" s="985" t="str">
        <f>IF(B61="","",IFERROR(VLOOKUP(B61,案件管理!A:C,3,FALSE),""))</f>
        <v/>
      </c>
      <c r="E61" s="987"/>
      <c r="F61" s="988"/>
      <c r="G61" s="989"/>
      <c r="H61" s="988"/>
      <c r="I61" s="989"/>
      <c r="J61" s="990" t="str">
        <f t="shared" si="1"/>
        <v/>
      </c>
      <c r="K61" s="986" t="str">
        <f t="shared" si="2"/>
        <v/>
      </c>
      <c r="L61" s="985"/>
    </row>
    <row r="62" spans="1:12">
      <c r="A62" s="986" t="str">
        <f t="shared" si="0"/>
        <v/>
      </c>
      <c r="B62" s="987"/>
      <c r="C62" s="985" t="str">
        <f>IF(B62="","",IFERROR(VLOOKUP(B62,案件管理!A:D,4,FALSE),""))</f>
        <v/>
      </c>
      <c r="D62" s="985" t="str">
        <f>IF(B62="","",IFERROR(VLOOKUP(B62,案件管理!A:C,3,FALSE),""))</f>
        <v/>
      </c>
      <c r="E62" s="987"/>
      <c r="F62" s="988"/>
      <c r="G62" s="989"/>
      <c r="H62" s="988"/>
      <c r="I62" s="989"/>
      <c r="J62" s="990" t="str">
        <f t="shared" si="1"/>
        <v/>
      </c>
      <c r="K62" s="986" t="str">
        <f t="shared" si="2"/>
        <v/>
      </c>
      <c r="L62" s="985"/>
    </row>
    <row r="63" spans="1:12">
      <c r="A63" s="986" t="str">
        <f t="shared" si="0"/>
        <v/>
      </c>
      <c r="B63" s="987"/>
      <c r="C63" s="985" t="str">
        <f>IF(B63="","",IFERROR(VLOOKUP(B63,案件管理!A:D,4,FALSE),""))</f>
        <v/>
      </c>
      <c r="D63" s="985" t="str">
        <f>IF(B63="","",IFERROR(VLOOKUP(B63,案件管理!A:C,3,FALSE),""))</f>
        <v/>
      </c>
      <c r="E63" s="987"/>
      <c r="F63" s="988"/>
      <c r="G63" s="989"/>
      <c r="H63" s="988"/>
      <c r="I63" s="989"/>
      <c r="J63" s="990" t="str">
        <f t="shared" si="1"/>
        <v/>
      </c>
      <c r="K63" s="986" t="str">
        <f t="shared" si="2"/>
        <v/>
      </c>
      <c r="L63" s="985"/>
    </row>
    <row r="64" spans="1:12">
      <c r="A64" s="986" t="str">
        <f t="shared" si="0"/>
        <v/>
      </c>
      <c r="B64" s="987"/>
      <c r="C64" s="985" t="str">
        <f>IF(B64="","",IFERROR(VLOOKUP(B64,案件管理!A:D,4,FALSE),""))</f>
        <v/>
      </c>
      <c r="D64" s="985" t="str">
        <f>IF(B64="","",IFERROR(VLOOKUP(B64,案件管理!A:C,3,FALSE),""))</f>
        <v/>
      </c>
      <c r="E64" s="987"/>
      <c r="F64" s="988"/>
      <c r="G64" s="989"/>
      <c r="H64" s="988"/>
      <c r="I64" s="989"/>
      <c r="J64" s="990" t="str">
        <f t="shared" si="1"/>
        <v/>
      </c>
      <c r="K64" s="986" t="str">
        <f t="shared" si="2"/>
        <v/>
      </c>
      <c r="L64" s="985"/>
    </row>
    <row r="65" spans="1:12">
      <c r="A65" s="986" t="str">
        <f t="shared" si="0"/>
        <v/>
      </c>
      <c r="B65" s="987"/>
      <c r="C65" s="985" t="str">
        <f>IF(B65="","",IFERROR(VLOOKUP(B65,案件管理!A:D,4,FALSE),""))</f>
        <v/>
      </c>
      <c r="D65" s="985" t="str">
        <f>IF(B65="","",IFERROR(VLOOKUP(B65,案件管理!A:C,3,FALSE),""))</f>
        <v/>
      </c>
      <c r="E65" s="987"/>
      <c r="F65" s="988"/>
      <c r="G65" s="989"/>
      <c r="H65" s="988"/>
      <c r="I65" s="989"/>
      <c r="J65" s="990" t="str">
        <f t="shared" si="1"/>
        <v/>
      </c>
      <c r="K65" s="986" t="str">
        <f t="shared" si="2"/>
        <v/>
      </c>
      <c r="L65" s="985"/>
    </row>
    <row r="66" spans="1:12">
      <c r="A66" s="986" t="str">
        <f t="shared" si="0"/>
        <v/>
      </c>
      <c r="B66" s="987"/>
      <c r="C66" s="985" t="str">
        <f>IF(B66="","",IFERROR(VLOOKUP(B66,案件管理!A:D,4,FALSE),""))</f>
        <v/>
      </c>
      <c r="D66" s="985" t="str">
        <f>IF(B66="","",IFERROR(VLOOKUP(B66,案件管理!A:C,3,FALSE),""))</f>
        <v/>
      </c>
      <c r="E66" s="987"/>
      <c r="F66" s="988"/>
      <c r="G66" s="989"/>
      <c r="H66" s="988"/>
      <c r="I66" s="989"/>
      <c r="J66" s="990" t="str">
        <f t="shared" si="1"/>
        <v/>
      </c>
      <c r="K66" s="986" t="str">
        <f t="shared" si="2"/>
        <v/>
      </c>
      <c r="L66" s="985"/>
    </row>
    <row r="67" spans="1:12">
      <c r="A67" s="986" t="str">
        <f t="shared" si="0"/>
        <v/>
      </c>
      <c r="B67" s="987"/>
      <c r="C67" s="985" t="str">
        <f>IF(B67="","",IFERROR(VLOOKUP(B67,案件管理!A:D,4,FALSE),""))</f>
        <v/>
      </c>
      <c r="D67" s="985" t="str">
        <f>IF(B67="","",IFERROR(VLOOKUP(B67,案件管理!A:C,3,FALSE),""))</f>
        <v/>
      </c>
      <c r="E67" s="987"/>
      <c r="F67" s="988"/>
      <c r="G67" s="989"/>
      <c r="H67" s="988"/>
      <c r="I67" s="989"/>
      <c r="J67" s="990" t="str">
        <f t="shared" si="1"/>
        <v/>
      </c>
      <c r="K67" s="986" t="str">
        <f t="shared" si="2"/>
        <v/>
      </c>
      <c r="L67" s="985"/>
    </row>
    <row r="68" spans="1:12">
      <c r="A68" s="986" t="str">
        <f t="shared" si="0"/>
        <v/>
      </c>
      <c r="B68" s="987"/>
      <c r="C68" s="985" t="str">
        <f>IF(B68="","",IFERROR(VLOOKUP(B68,案件管理!A:D,4,FALSE),""))</f>
        <v/>
      </c>
      <c r="D68" s="985" t="str">
        <f>IF(B68="","",IFERROR(VLOOKUP(B68,案件管理!A:C,3,FALSE),""))</f>
        <v/>
      </c>
      <c r="E68" s="987"/>
      <c r="F68" s="988"/>
      <c r="G68" s="989"/>
      <c r="H68" s="988"/>
      <c r="I68" s="989"/>
      <c r="J68" s="990" t="str">
        <f t="shared" si="1"/>
        <v/>
      </c>
      <c r="K68" s="986" t="str">
        <f t="shared" si="2"/>
        <v/>
      </c>
      <c r="L68" s="985"/>
    </row>
    <row r="69" spans="1:12">
      <c r="A69" s="986" t="str">
        <f t="shared" si="0"/>
        <v/>
      </c>
      <c r="B69" s="987"/>
      <c r="C69" s="985" t="str">
        <f>IF(B69="","",IFERROR(VLOOKUP(B69,案件管理!A:D,4,FALSE),""))</f>
        <v/>
      </c>
      <c r="D69" s="985" t="str">
        <f>IF(B69="","",IFERROR(VLOOKUP(B69,案件管理!A:C,3,FALSE),""))</f>
        <v/>
      </c>
      <c r="E69" s="987"/>
      <c r="F69" s="988"/>
      <c r="G69" s="989"/>
      <c r="H69" s="988"/>
      <c r="I69" s="989"/>
      <c r="J69" s="990" t="str">
        <f t="shared" si="1"/>
        <v/>
      </c>
      <c r="K69" s="986" t="str">
        <f t="shared" si="2"/>
        <v/>
      </c>
      <c r="L69" s="985"/>
    </row>
    <row r="70" spans="1:12">
      <c r="A70" s="986" t="str">
        <f t="shared" ref="A70:A104" si="3">IF(B70="","","INV-"&amp;TEXT(ROW()-4,"000"))</f>
        <v/>
      </c>
      <c r="B70" s="987"/>
      <c r="C70" s="985" t="str">
        <f>IF(B70="","",IFERROR(VLOOKUP(B70,案件管理!A:D,4,FALSE),""))</f>
        <v/>
      </c>
      <c r="D70" s="985" t="str">
        <f>IF(B70="","",IFERROR(VLOOKUP(B70,案件管理!A:C,3,FALSE),""))</f>
        <v/>
      </c>
      <c r="E70" s="987"/>
      <c r="F70" s="988"/>
      <c r="G70" s="989"/>
      <c r="H70" s="988"/>
      <c r="I70" s="989"/>
      <c r="J70" s="990" t="str">
        <f t="shared" ref="J70:J104" si="4">IF(B70="","",IF(G70="","",G70-IF(I70="",0,I70)))</f>
        <v/>
      </c>
      <c r="K70" s="986" t="str">
        <f t="shared" ref="K70:K104" si="5">IF(B70="","",IF(G70="","",IF(J70&lt;=0,"✅入金済",IF(I70&lt;&gt;"","⚠一部入金",IF(F70&lt;&gt;"","❌未入金","")))))</f>
        <v/>
      </c>
      <c r="L70" s="985"/>
    </row>
    <row r="71" spans="1:12">
      <c r="A71" s="986" t="str">
        <f t="shared" si="3"/>
        <v/>
      </c>
      <c r="B71" s="987"/>
      <c r="C71" s="985" t="str">
        <f>IF(B71="","",IFERROR(VLOOKUP(B71,案件管理!A:D,4,FALSE),""))</f>
        <v/>
      </c>
      <c r="D71" s="985" t="str">
        <f>IF(B71="","",IFERROR(VLOOKUP(B71,案件管理!A:C,3,FALSE),""))</f>
        <v/>
      </c>
      <c r="E71" s="987"/>
      <c r="F71" s="988"/>
      <c r="G71" s="989"/>
      <c r="H71" s="988"/>
      <c r="I71" s="989"/>
      <c r="J71" s="990" t="str">
        <f t="shared" si="4"/>
        <v/>
      </c>
      <c r="K71" s="986" t="str">
        <f t="shared" si="5"/>
        <v/>
      </c>
      <c r="L71" s="985"/>
    </row>
    <row r="72" spans="1:12">
      <c r="A72" s="986" t="str">
        <f t="shared" si="3"/>
        <v/>
      </c>
      <c r="B72" s="987"/>
      <c r="C72" s="985" t="str">
        <f>IF(B72="","",IFERROR(VLOOKUP(B72,案件管理!A:D,4,FALSE),""))</f>
        <v/>
      </c>
      <c r="D72" s="985" t="str">
        <f>IF(B72="","",IFERROR(VLOOKUP(B72,案件管理!A:C,3,FALSE),""))</f>
        <v/>
      </c>
      <c r="E72" s="987"/>
      <c r="F72" s="988"/>
      <c r="G72" s="989"/>
      <c r="H72" s="988"/>
      <c r="I72" s="989"/>
      <c r="J72" s="990" t="str">
        <f t="shared" si="4"/>
        <v/>
      </c>
      <c r="K72" s="986" t="str">
        <f t="shared" si="5"/>
        <v/>
      </c>
      <c r="L72" s="985"/>
    </row>
    <row r="73" spans="1:12">
      <c r="A73" s="986" t="str">
        <f t="shared" si="3"/>
        <v/>
      </c>
      <c r="B73" s="987"/>
      <c r="C73" s="985" t="str">
        <f>IF(B73="","",IFERROR(VLOOKUP(B73,案件管理!A:D,4,FALSE),""))</f>
        <v/>
      </c>
      <c r="D73" s="985" t="str">
        <f>IF(B73="","",IFERROR(VLOOKUP(B73,案件管理!A:C,3,FALSE),""))</f>
        <v/>
      </c>
      <c r="E73" s="987"/>
      <c r="F73" s="988"/>
      <c r="G73" s="989"/>
      <c r="H73" s="988"/>
      <c r="I73" s="989"/>
      <c r="J73" s="990" t="str">
        <f t="shared" si="4"/>
        <v/>
      </c>
      <c r="K73" s="986" t="str">
        <f t="shared" si="5"/>
        <v/>
      </c>
      <c r="L73" s="985"/>
    </row>
    <row r="74" spans="1:12">
      <c r="A74" s="986" t="str">
        <f t="shared" si="3"/>
        <v/>
      </c>
      <c r="B74" s="987"/>
      <c r="C74" s="985" t="str">
        <f>IF(B74="","",IFERROR(VLOOKUP(B74,案件管理!A:D,4,FALSE),""))</f>
        <v/>
      </c>
      <c r="D74" s="985" t="str">
        <f>IF(B74="","",IFERROR(VLOOKUP(B74,案件管理!A:C,3,FALSE),""))</f>
        <v/>
      </c>
      <c r="E74" s="987"/>
      <c r="F74" s="988"/>
      <c r="G74" s="989"/>
      <c r="H74" s="988"/>
      <c r="I74" s="989"/>
      <c r="J74" s="990" t="str">
        <f t="shared" si="4"/>
        <v/>
      </c>
      <c r="K74" s="986" t="str">
        <f t="shared" si="5"/>
        <v/>
      </c>
      <c r="L74" s="985"/>
    </row>
    <row r="75" spans="1:12">
      <c r="A75" s="986" t="str">
        <f t="shared" si="3"/>
        <v/>
      </c>
      <c r="B75" s="987"/>
      <c r="C75" s="985" t="str">
        <f>IF(B75="","",IFERROR(VLOOKUP(B75,案件管理!A:D,4,FALSE),""))</f>
        <v/>
      </c>
      <c r="D75" s="985" t="str">
        <f>IF(B75="","",IFERROR(VLOOKUP(B75,案件管理!A:C,3,FALSE),""))</f>
        <v/>
      </c>
      <c r="E75" s="987"/>
      <c r="F75" s="988"/>
      <c r="G75" s="989"/>
      <c r="H75" s="988"/>
      <c r="I75" s="989"/>
      <c r="J75" s="990" t="str">
        <f t="shared" si="4"/>
        <v/>
      </c>
      <c r="K75" s="986" t="str">
        <f t="shared" si="5"/>
        <v/>
      </c>
      <c r="L75" s="985"/>
    </row>
    <row r="76" spans="1:12">
      <c r="A76" s="986" t="str">
        <f t="shared" si="3"/>
        <v/>
      </c>
      <c r="B76" s="987"/>
      <c r="C76" s="985" t="str">
        <f>IF(B76="","",IFERROR(VLOOKUP(B76,案件管理!A:D,4,FALSE),""))</f>
        <v/>
      </c>
      <c r="D76" s="985" t="str">
        <f>IF(B76="","",IFERROR(VLOOKUP(B76,案件管理!A:C,3,FALSE),""))</f>
        <v/>
      </c>
      <c r="E76" s="987"/>
      <c r="F76" s="988"/>
      <c r="G76" s="989"/>
      <c r="H76" s="988"/>
      <c r="I76" s="989"/>
      <c r="J76" s="990" t="str">
        <f t="shared" si="4"/>
        <v/>
      </c>
      <c r="K76" s="986" t="str">
        <f t="shared" si="5"/>
        <v/>
      </c>
      <c r="L76" s="985"/>
    </row>
    <row r="77" spans="1:12">
      <c r="A77" s="986" t="str">
        <f t="shared" si="3"/>
        <v/>
      </c>
      <c r="B77" s="987"/>
      <c r="C77" s="985" t="str">
        <f>IF(B77="","",IFERROR(VLOOKUP(B77,案件管理!A:D,4,FALSE),""))</f>
        <v/>
      </c>
      <c r="D77" s="985" t="str">
        <f>IF(B77="","",IFERROR(VLOOKUP(B77,案件管理!A:C,3,FALSE),""))</f>
        <v/>
      </c>
      <c r="E77" s="987"/>
      <c r="F77" s="988"/>
      <c r="G77" s="989"/>
      <c r="H77" s="988"/>
      <c r="I77" s="989"/>
      <c r="J77" s="990" t="str">
        <f t="shared" si="4"/>
        <v/>
      </c>
      <c r="K77" s="986" t="str">
        <f t="shared" si="5"/>
        <v/>
      </c>
      <c r="L77" s="985"/>
    </row>
    <row r="78" spans="1:12">
      <c r="A78" s="986" t="str">
        <f t="shared" si="3"/>
        <v/>
      </c>
      <c r="B78" s="987"/>
      <c r="C78" s="985" t="str">
        <f>IF(B78="","",IFERROR(VLOOKUP(B78,案件管理!A:D,4,FALSE),""))</f>
        <v/>
      </c>
      <c r="D78" s="985" t="str">
        <f>IF(B78="","",IFERROR(VLOOKUP(B78,案件管理!A:C,3,FALSE),""))</f>
        <v/>
      </c>
      <c r="E78" s="987"/>
      <c r="F78" s="988"/>
      <c r="G78" s="989"/>
      <c r="H78" s="988"/>
      <c r="I78" s="989"/>
      <c r="J78" s="990" t="str">
        <f t="shared" si="4"/>
        <v/>
      </c>
      <c r="K78" s="986" t="str">
        <f t="shared" si="5"/>
        <v/>
      </c>
      <c r="L78" s="985"/>
    </row>
    <row r="79" spans="1:12">
      <c r="A79" s="986" t="str">
        <f t="shared" si="3"/>
        <v/>
      </c>
      <c r="B79" s="987"/>
      <c r="C79" s="985" t="str">
        <f>IF(B79="","",IFERROR(VLOOKUP(B79,案件管理!A:D,4,FALSE),""))</f>
        <v/>
      </c>
      <c r="D79" s="985" t="str">
        <f>IF(B79="","",IFERROR(VLOOKUP(B79,案件管理!A:C,3,FALSE),""))</f>
        <v/>
      </c>
      <c r="E79" s="987"/>
      <c r="F79" s="988"/>
      <c r="G79" s="989"/>
      <c r="H79" s="988"/>
      <c r="I79" s="989"/>
      <c r="J79" s="990" t="str">
        <f t="shared" si="4"/>
        <v/>
      </c>
      <c r="K79" s="986" t="str">
        <f t="shared" si="5"/>
        <v/>
      </c>
      <c r="L79" s="985"/>
    </row>
    <row r="80" spans="1:12">
      <c r="A80" s="986" t="str">
        <f t="shared" si="3"/>
        <v/>
      </c>
      <c r="B80" s="987"/>
      <c r="C80" s="985" t="str">
        <f>IF(B80="","",IFERROR(VLOOKUP(B80,案件管理!A:D,4,FALSE),""))</f>
        <v/>
      </c>
      <c r="D80" s="985" t="str">
        <f>IF(B80="","",IFERROR(VLOOKUP(B80,案件管理!A:C,3,FALSE),""))</f>
        <v/>
      </c>
      <c r="E80" s="987"/>
      <c r="F80" s="988"/>
      <c r="G80" s="989"/>
      <c r="H80" s="988"/>
      <c r="I80" s="989"/>
      <c r="J80" s="990" t="str">
        <f t="shared" si="4"/>
        <v/>
      </c>
      <c r="K80" s="986" t="str">
        <f t="shared" si="5"/>
        <v/>
      </c>
      <c r="L80" s="985"/>
    </row>
    <row r="81" spans="1:12">
      <c r="A81" s="986" t="str">
        <f t="shared" si="3"/>
        <v/>
      </c>
      <c r="B81" s="987"/>
      <c r="C81" s="985" t="str">
        <f>IF(B81="","",IFERROR(VLOOKUP(B81,案件管理!A:D,4,FALSE),""))</f>
        <v/>
      </c>
      <c r="D81" s="985" t="str">
        <f>IF(B81="","",IFERROR(VLOOKUP(B81,案件管理!A:C,3,FALSE),""))</f>
        <v/>
      </c>
      <c r="E81" s="987"/>
      <c r="F81" s="988"/>
      <c r="G81" s="989"/>
      <c r="H81" s="988"/>
      <c r="I81" s="989"/>
      <c r="J81" s="990" t="str">
        <f t="shared" si="4"/>
        <v/>
      </c>
      <c r="K81" s="986" t="str">
        <f t="shared" si="5"/>
        <v/>
      </c>
      <c r="L81" s="985"/>
    </row>
    <row r="82" spans="1:12">
      <c r="A82" s="986" t="str">
        <f t="shared" si="3"/>
        <v/>
      </c>
      <c r="B82" s="987"/>
      <c r="C82" s="985" t="str">
        <f>IF(B82="","",IFERROR(VLOOKUP(B82,案件管理!A:D,4,FALSE),""))</f>
        <v/>
      </c>
      <c r="D82" s="985" t="str">
        <f>IF(B82="","",IFERROR(VLOOKUP(B82,案件管理!A:C,3,FALSE),""))</f>
        <v/>
      </c>
      <c r="E82" s="987"/>
      <c r="F82" s="988"/>
      <c r="G82" s="989"/>
      <c r="H82" s="988"/>
      <c r="I82" s="989"/>
      <c r="J82" s="990" t="str">
        <f t="shared" si="4"/>
        <v/>
      </c>
      <c r="K82" s="986" t="str">
        <f t="shared" si="5"/>
        <v/>
      </c>
      <c r="L82" s="985"/>
    </row>
    <row r="83" spans="1:12">
      <c r="A83" s="986" t="str">
        <f t="shared" si="3"/>
        <v/>
      </c>
      <c r="B83" s="987"/>
      <c r="C83" s="985" t="str">
        <f>IF(B83="","",IFERROR(VLOOKUP(B83,案件管理!A:D,4,FALSE),""))</f>
        <v/>
      </c>
      <c r="D83" s="985" t="str">
        <f>IF(B83="","",IFERROR(VLOOKUP(B83,案件管理!A:C,3,FALSE),""))</f>
        <v/>
      </c>
      <c r="E83" s="987"/>
      <c r="F83" s="988"/>
      <c r="G83" s="989"/>
      <c r="H83" s="988"/>
      <c r="I83" s="989"/>
      <c r="J83" s="990" t="str">
        <f t="shared" si="4"/>
        <v/>
      </c>
      <c r="K83" s="986" t="str">
        <f t="shared" si="5"/>
        <v/>
      </c>
      <c r="L83" s="985"/>
    </row>
    <row r="84" spans="1:12">
      <c r="A84" s="986" t="str">
        <f t="shared" si="3"/>
        <v/>
      </c>
      <c r="B84" s="987"/>
      <c r="C84" s="985" t="str">
        <f>IF(B84="","",IFERROR(VLOOKUP(B84,案件管理!A:D,4,FALSE),""))</f>
        <v/>
      </c>
      <c r="D84" s="985" t="str">
        <f>IF(B84="","",IFERROR(VLOOKUP(B84,案件管理!A:C,3,FALSE),""))</f>
        <v/>
      </c>
      <c r="E84" s="987"/>
      <c r="F84" s="988"/>
      <c r="G84" s="989"/>
      <c r="H84" s="988"/>
      <c r="I84" s="989"/>
      <c r="J84" s="990" t="str">
        <f t="shared" si="4"/>
        <v/>
      </c>
      <c r="K84" s="986" t="str">
        <f t="shared" si="5"/>
        <v/>
      </c>
      <c r="L84" s="985"/>
    </row>
    <row r="85" spans="1:12">
      <c r="A85" s="986" t="str">
        <f t="shared" si="3"/>
        <v/>
      </c>
      <c r="B85" s="987"/>
      <c r="C85" s="985" t="str">
        <f>IF(B85="","",IFERROR(VLOOKUP(B85,案件管理!A:D,4,FALSE),""))</f>
        <v/>
      </c>
      <c r="D85" s="985" t="str">
        <f>IF(B85="","",IFERROR(VLOOKUP(B85,案件管理!A:C,3,FALSE),""))</f>
        <v/>
      </c>
      <c r="E85" s="987"/>
      <c r="F85" s="988"/>
      <c r="G85" s="989"/>
      <c r="H85" s="988"/>
      <c r="I85" s="989"/>
      <c r="J85" s="990" t="str">
        <f t="shared" si="4"/>
        <v/>
      </c>
      <c r="K85" s="986" t="str">
        <f t="shared" si="5"/>
        <v/>
      </c>
      <c r="L85" s="985"/>
    </row>
    <row r="86" spans="1:12">
      <c r="A86" s="986" t="str">
        <f t="shared" si="3"/>
        <v/>
      </c>
      <c r="B86" s="987"/>
      <c r="C86" s="985" t="str">
        <f>IF(B86="","",IFERROR(VLOOKUP(B86,案件管理!A:D,4,FALSE),""))</f>
        <v/>
      </c>
      <c r="D86" s="985" t="str">
        <f>IF(B86="","",IFERROR(VLOOKUP(B86,案件管理!A:C,3,FALSE),""))</f>
        <v/>
      </c>
      <c r="E86" s="987"/>
      <c r="F86" s="988"/>
      <c r="G86" s="989"/>
      <c r="H86" s="988"/>
      <c r="I86" s="989"/>
      <c r="J86" s="990" t="str">
        <f t="shared" si="4"/>
        <v/>
      </c>
      <c r="K86" s="986" t="str">
        <f t="shared" si="5"/>
        <v/>
      </c>
      <c r="L86" s="985"/>
    </row>
    <row r="87" spans="1:12">
      <c r="A87" s="986" t="str">
        <f t="shared" si="3"/>
        <v/>
      </c>
      <c r="B87" s="987"/>
      <c r="C87" s="985" t="str">
        <f>IF(B87="","",IFERROR(VLOOKUP(B87,案件管理!A:D,4,FALSE),""))</f>
        <v/>
      </c>
      <c r="D87" s="985" t="str">
        <f>IF(B87="","",IFERROR(VLOOKUP(B87,案件管理!A:C,3,FALSE),""))</f>
        <v/>
      </c>
      <c r="E87" s="987"/>
      <c r="F87" s="988"/>
      <c r="G87" s="989"/>
      <c r="H87" s="988"/>
      <c r="I87" s="989"/>
      <c r="J87" s="990" t="str">
        <f t="shared" si="4"/>
        <v/>
      </c>
      <c r="K87" s="986" t="str">
        <f t="shared" si="5"/>
        <v/>
      </c>
      <c r="L87" s="985"/>
    </row>
    <row r="88" spans="1:12">
      <c r="A88" s="986" t="str">
        <f t="shared" si="3"/>
        <v/>
      </c>
      <c r="B88" s="987"/>
      <c r="C88" s="985" t="str">
        <f>IF(B88="","",IFERROR(VLOOKUP(B88,案件管理!A:D,4,FALSE),""))</f>
        <v/>
      </c>
      <c r="D88" s="985" t="str">
        <f>IF(B88="","",IFERROR(VLOOKUP(B88,案件管理!A:C,3,FALSE),""))</f>
        <v/>
      </c>
      <c r="E88" s="987"/>
      <c r="F88" s="988"/>
      <c r="G88" s="989"/>
      <c r="H88" s="988"/>
      <c r="I88" s="989"/>
      <c r="J88" s="990" t="str">
        <f t="shared" si="4"/>
        <v/>
      </c>
      <c r="K88" s="986" t="str">
        <f t="shared" si="5"/>
        <v/>
      </c>
      <c r="L88" s="985"/>
    </row>
    <row r="89" spans="1:12">
      <c r="A89" s="986" t="str">
        <f t="shared" si="3"/>
        <v/>
      </c>
      <c r="B89" s="987"/>
      <c r="C89" s="985" t="str">
        <f>IF(B89="","",IFERROR(VLOOKUP(B89,案件管理!A:D,4,FALSE),""))</f>
        <v/>
      </c>
      <c r="D89" s="985" t="str">
        <f>IF(B89="","",IFERROR(VLOOKUP(B89,案件管理!A:C,3,FALSE),""))</f>
        <v/>
      </c>
      <c r="E89" s="987"/>
      <c r="F89" s="988"/>
      <c r="G89" s="989"/>
      <c r="H89" s="988"/>
      <c r="I89" s="989"/>
      <c r="J89" s="990" t="str">
        <f t="shared" si="4"/>
        <v/>
      </c>
      <c r="K89" s="986" t="str">
        <f t="shared" si="5"/>
        <v/>
      </c>
      <c r="L89" s="985"/>
    </row>
    <row r="90" spans="1:12">
      <c r="A90" s="986" t="str">
        <f t="shared" si="3"/>
        <v/>
      </c>
      <c r="B90" s="987"/>
      <c r="C90" s="985" t="str">
        <f>IF(B90="","",IFERROR(VLOOKUP(B90,案件管理!A:D,4,FALSE),""))</f>
        <v/>
      </c>
      <c r="D90" s="985" t="str">
        <f>IF(B90="","",IFERROR(VLOOKUP(B90,案件管理!A:C,3,FALSE),""))</f>
        <v/>
      </c>
      <c r="E90" s="987"/>
      <c r="F90" s="988"/>
      <c r="G90" s="989"/>
      <c r="H90" s="988"/>
      <c r="I90" s="989"/>
      <c r="J90" s="990" t="str">
        <f t="shared" si="4"/>
        <v/>
      </c>
      <c r="K90" s="986" t="str">
        <f t="shared" si="5"/>
        <v/>
      </c>
      <c r="L90" s="985"/>
    </row>
    <row r="91" spans="1:12">
      <c r="A91" s="986" t="str">
        <f t="shared" si="3"/>
        <v/>
      </c>
      <c r="B91" s="987"/>
      <c r="C91" s="985" t="str">
        <f>IF(B91="","",IFERROR(VLOOKUP(B91,案件管理!A:D,4,FALSE),""))</f>
        <v/>
      </c>
      <c r="D91" s="985" t="str">
        <f>IF(B91="","",IFERROR(VLOOKUP(B91,案件管理!A:C,3,FALSE),""))</f>
        <v/>
      </c>
      <c r="E91" s="987"/>
      <c r="F91" s="988"/>
      <c r="G91" s="989"/>
      <c r="H91" s="988"/>
      <c r="I91" s="989"/>
      <c r="J91" s="990" t="str">
        <f t="shared" si="4"/>
        <v/>
      </c>
      <c r="K91" s="986" t="str">
        <f t="shared" si="5"/>
        <v/>
      </c>
      <c r="L91" s="985"/>
    </row>
    <row r="92" spans="1:12">
      <c r="A92" s="986" t="str">
        <f t="shared" si="3"/>
        <v/>
      </c>
      <c r="B92" s="987"/>
      <c r="C92" s="985" t="str">
        <f>IF(B92="","",IFERROR(VLOOKUP(B92,案件管理!A:D,4,FALSE),""))</f>
        <v/>
      </c>
      <c r="D92" s="985" t="str">
        <f>IF(B92="","",IFERROR(VLOOKUP(B92,案件管理!A:C,3,FALSE),""))</f>
        <v/>
      </c>
      <c r="E92" s="987"/>
      <c r="F92" s="988"/>
      <c r="G92" s="989"/>
      <c r="H92" s="988"/>
      <c r="I92" s="989"/>
      <c r="J92" s="990" t="str">
        <f t="shared" si="4"/>
        <v/>
      </c>
      <c r="K92" s="986" t="str">
        <f t="shared" si="5"/>
        <v/>
      </c>
      <c r="L92" s="985"/>
    </row>
    <row r="93" spans="1:12">
      <c r="A93" s="986" t="str">
        <f t="shared" si="3"/>
        <v/>
      </c>
      <c r="B93" s="987"/>
      <c r="C93" s="985" t="str">
        <f>IF(B93="","",IFERROR(VLOOKUP(B93,案件管理!A:D,4,FALSE),""))</f>
        <v/>
      </c>
      <c r="D93" s="985" t="str">
        <f>IF(B93="","",IFERROR(VLOOKUP(B93,案件管理!A:C,3,FALSE),""))</f>
        <v/>
      </c>
      <c r="E93" s="987"/>
      <c r="F93" s="988"/>
      <c r="G93" s="989"/>
      <c r="H93" s="988"/>
      <c r="I93" s="989"/>
      <c r="J93" s="990" t="str">
        <f t="shared" si="4"/>
        <v/>
      </c>
      <c r="K93" s="986" t="str">
        <f t="shared" si="5"/>
        <v/>
      </c>
      <c r="L93" s="985"/>
    </row>
    <row r="94" spans="1:12">
      <c r="A94" s="986" t="str">
        <f t="shared" si="3"/>
        <v/>
      </c>
      <c r="B94" s="987"/>
      <c r="C94" s="985" t="str">
        <f>IF(B94="","",IFERROR(VLOOKUP(B94,案件管理!A:D,4,FALSE),""))</f>
        <v/>
      </c>
      <c r="D94" s="985" t="str">
        <f>IF(B94="","",IFERROR(VLOOKUP(B94,案件管理!A:C,3,FALSE),""))</f>
        <v/>
      </c>
      <c r="E94" s="987"/>
      <c r="F94" s="988"/>
      <c r="G94" s="989"/>
      <c r="H94" s="988"/>
      <c r="I94" s="989"/>
      <c r="J94" s="990" t="str">
        <f t="shared" si="4"/>
        <v/>
      </c>
      <c r="K94" s="986" t="str">
        <f t="shared" si="5"/>
        <v/>
      </c>
      <c r="L94" s="985"/>
    </row>
    <row r="95" spans="1:12">
      <c r="A95" s="986" t="str">
        <f t="shared" si="3"/>
        <v/>
      </c>
      <c r="B95" s="987"/>
      <c r="C95" s="985" t="str">
        <f>IF(B95="","",IFERROR(VLOOKUP(B95,案件管理!A:D,4,FALSE),""))</f>
        <v/>
      </c>
      <c r="D95" s="985" t="str">
        <f>IF(B95="","",IFERROR(VLOOKUP(B95,案件管理!A:C,3,FALSE),""))</f>
        <v/>
      </c>
      <c r="E95" s="987"/>
      <c r="F95" s="988"/>
      <c r="G95" s="989"/>
      <c r="H95" s="988"/>
      <c r="I95" s="989"/>
      <c r="J95" s="990" t="str">
        <f t="shared" si="4"/>
        <v/>
      </c>
      <c r="K95" s="986" t="str">
        <f t="shared" si="5"/>
        <v/>
      </c>
      <c r="L95" s="985"/>
    </row>
    <row r="96" spans="1:12">
      <c r="A96" s="986" t="str">
        <f t="shared" si="3"/>
        <v/>
      </c>
      <c r="B96" s="987"/>
      <c r="C96" s="985" t="str">
        <f>IF(B96="","",IFERROR(VLOOKUP(B96,案件管理!A:D,4,FALSE),""))</f>
        <v/>
      </c>
      <c r="D96" s="985" t="str">
        <f>IF(B96="","",IFERROR(VLOOKUP(B96,案件管理!A:C,3,FALSE),""))</f>
        <v/>
      </c>
      <c r="E96" s="987"/>
      <c r="F96" s="988"/>
      <c r="G96" s="989"/>
      <c r="H96" s="988"/>
      <c r="I96" s="989"/>
      <c r="J96" s="990" t="str">
        <f t="shared" si="4"/>
        <v/>
      </c>
      <c r="K96" s="986" t="str">
        <f t="shared" si="5"/>
        <v/>
      </c>
      <c r="L96" s="985"/>
    </row>
    <row r="97" spans="1:12">
      <c r="A97" s="986" t="str">
        <f t="shared" si="3"/>
        <v/>
      </c>
      <c r="B97" s="987"/>
      <c r="C97" s="985" t="str">
        <f>IF(B97="","",IFERROR(VLOOKUP(B97,案件管理!A:D,4,FALSE),""))</f>
        <v/>
      </c>
      <c r="D97" s="985" t="str">
        <f>IF(B97="","",IFERROR(VLOOKUP(B97,案件管理!A:C,3,FALSE),""))</f>
        <v/>
      </c>
      <c r="E97" s="987"/>
      <c r="F97" s="988"/>
      <c r="G97" s="989"/>
      <c r="H97" s="988"/>
      <c r="I97" s="989"/>
      <c r="J97" s="990" t="str">
        <f t="shared" si="4"/>
        <v/>
      </c>
      <c r="K97" s="986" t="str">
        <f t="shared" si="5"/>
        <v/>
      </c>
      <c r="L97" s="985"/>
    </row>
    <row r="98" spans="1:12">
      <c r="A98" s="986" t="str">
        <f t="shared" si="3"/>
        <v/>
      </c>
      <c r="B98" s="987"/>
      <c r="C98" s="985" t="str">
        <f>IF(B98="","",IFERROR(VLOOKUP(B98,案件管理!A:D,4,FALSE),""))</f>
        <v/>
      </c>
      <c r="D98" s="985" t="str">
        <f>IF(B98="","",IFERROR(VLOOKUP(B98,案件管理!A:C,3,FALSE),""))</f>
        <v/>
      </c>
      <c r="E98" s="987"/>
      <c r="F98" s="988"/>
      <c r="G98" s="989"/>
      <c r="H98" s="988"/>
      <c r="I98" s="989"/>
      <c r="J98" s="990" t="str">
        <f t="shared" si="4"/>
        <v/>
      </c>
      <c r="K98" s="986" t="str">
        <f t="shared" si="5"/>
        <v/>
      </c>
      <c r="L98" s="985"/>
    </row>
    <row r="99" spans="1:12">
      <c r="A99" s="986" t="str">
        <f t="shared" si="3"/>
        <v/>
      </c>
      <c r="B99" s="987"/>
      <c r="C99" s="985" t="str">
        <f>IF(B99="","",IFERROR(VLOOKUP(B99,案件管理!A:D,4,FALSE),""))</f>
        <v/>
      </c>
      <c r="D99" s="985" t="str">
        <f>IF(B99="","",IFERROR(VLOOKUP(B99,案件管理!A:C,3,FALSE),""))</f>
        <v/>
      </c>
      <c r="E99" s="987"/>
      <c r="F99" s="988"/>
      <c r="G99" s="989"/>
      <c r="H99" s="988"/>
      <c r="I99" s="989"/>
      <c r="J99" s="990" t="str">
        <f t="shared" si="4"/>
        <v/>
      </c>
      <c r="K99" s="986" t="str">
        <f t="shared" si="5"/>
        <v/>
      </c>
      <c r="L99" s="985"/>
    </row>
    <row r="100" spans="1:12">
      <c r="A100" s="986" t="str">
        <f t="shared" si="3"/>
        <v/>
      </c>
      <c r="B100" s="987"/>
      <c r="C100" s="985" t="str">
        <f>IF(B100="","",IFERROR(VLOOKUP(B100,案件管理!A:D,4,FALSE),""))</f>
        <v/>
      </c>
      <c r="D100" s="985" t="str">
        <f>IF(B100="","",IFERROR(VLOOKUP(B100,案件管理!A:C,3,FALSE),""))</f>
        <v/>
      </c>
      <c r="E100" s="987"/>
      <c r="F100" s="988"/>
      <c r="G100" s="989"/>
      <c r="H100" s="988"/>
      <c r="I100" s="989"/>
      <c r="J100" s="990" t="str">
        <f t="shared" si="4"/>
        <v/>
      </c>
      <c r="K100" s="986" t="str">
        <f t="shared" si="5"/>
        <v/>
      </c>
      <c r="L100" s="985"/>
    </row>
    <row r="101" spans="1:12">
      <c r="A101" s="986" t="str">
        <f t="shared" si="3"/>
        <v/>
      </c>
      <c r="B101" s="987"/>
      <c r="C101" s="985" t="str">
        <f>IF(B101="","",IFERROR(VLOOKUP(B101,案件管理!A:D,4,FALSE),""))</f>
        <v/>
      </c>
      <c r="D101" s="985" t="str">
        <f>IF(B101="","",IFERROR(VLOOKUP(B101,案件管理!A:C,3,FALSE),""))</f>
        <v/>
      </c>
      <c r="E101" s="987"/>
      <c r="F101" s="988"/>
      <c r="G101" s="989"/>
      <c r="H101" s="988"/>
      <c r="I101" s="989"/>
      <c r="J101" s="990" t="str">
        <f t="shared" si="4"/>
        <v/>
      </c>
      <c r="K101" s="986" t="str">
        <f t="shared" si="5"/>
        <v/>
      </c>
      <c r="L101" s="985"/>
    </row>
    <row r="102" spans="1:12">
      <c r="A102" s="986" t="str">
        <f t="shared" si="3"/>
        <v/>
      </c>
      <c r="B102" s="987"/>
      <c r="C102" s="985" t="str">
        <f>IF(B102="","",IFERROR(VLOOKUP(B102,案件管理!A:D,4,FALSE),""))</f>
        <v/>
      </c>
      <c r="D102" s="985" t="str">
        <f>IF(B102="","",IFERROR(VLOOKUP(B102,案件管理!A:C,3,FALSE),""))</f>
        <v/>
      </c>
      <c r="E102" s="987"/>
      <c r="F102" s="988"/>
      <c r="G102" s="989"/>
      <c r="H102" s="988"/>
      <c r="I102" s="989"/>
      <c r="J102" s="990" t="str">
        <f t="shared" si="4"/>
        <v/>
      </c>
      <c r="K102" s="986" t="str">
        <f t="shared" si="5"/>
        <v/>
      </c>
      <c r="L102" s="985"/>
    </row>
    <row r="103" spans="1:12">
      <c r="A103" s="986" t="str">
        <f t="shared" si="3"/>
        <v/>
      </c>
      <c r="B103" s="987"/>
      <c r="C103" s="985" t="str">
        <f>IF(B103="","",IFERROR(VLOOKUP(B103,案件管理!A:D,4,FALSE),""))</f>
        <v/>
      </c>
      <c r="D103" s="985" t="str">
        <f>IF(B103="","",IFERROR(VLOOKUP(B103,案件管理!A:C,3,FALSE),""))</f>
        <v/>
      </c>
      <c r="E103" s="987"/>
      <c r="F103" s="988"/>
      <c r="G103" s="989"/>
      <c r="H103" s="988"/>
      <c r="I103" s="989"/>
      <c r="J103" s="990" t="str">
        <f t="shared" si="4"/>
        <v/>
      </c>
      <c r="K103" s="986" t="str">
        <f t="shared" si="5"/>
        <v/>
      </c>
      <c r="L103" s="985"/>
    </row>
    <row r="104" spans="1:12">
      <c r="A104" s="986" t="str">
        <f t="shared" si="3"/>
        <v/>
      </c>
      <c r="B104" s="987"/>
      <c r="C104" s="985" t="str">
        <f>IF(B104="","",IFERROR(VLOOKUP(B104,案件管理!A:D,4,FALSE),""))</f>
        <v/>
      </c>
      <c r="D104" s="985" t="str">
        <f>IF(B104="","",IFERROR(VLOOKUP(B104,案件管理!A:C,3,FALSE),""))</f>
        <v/>
      </c>
      <c r="E104" s="987"/>
      <c r="F104" s="988"/>
      <c r="G104" s="989"/>
      <c r="H104" s="988"/>
      <c r="I104" s="989"/>
      <c r="J104" s="990" t="str">
        <f t="shared" si="4"/>
        <v/>
      </c>
      <c r="K104" s="986" t="str">
        <f t="shared" si="5"/>
        <v/>
      </c>
      <c r="L104" s="985"/>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91" t="s">
        <v>1765</v>
      </c>
      <c r="B1" s="992"/>
      <c r="C1" s="992"/>
      <c r="D1" s="992"/>
      <c r="E1" s="992"/>
      <c r="F1" s="992"/>
      <c r="G1" s="992"/>
      <c r="H1" s="992"/>
      <c r="I1" s="992"/>
      <c r="J1" s="992"/>
      <c r="K1" s="992"/>
      <c r="L1" s="992"/>
      <c r="M1" s="992"/>
    </row>
    <row r="2" spans="1:13">
      <c r="A2" s="993" t="s">
        <v>1766</v>
      </c>
      <c r="B2" s="992"/>
      <c r="C2" s="992"/>
      <c r="D2" s="992"/>
      <c r="E2" s="992"/>
      <c r="F2" s="992"/>
      <c r="G2" s="992"/>
      <c r="H2" s="992"/>
      <c r="I2" s="992"/>
      <c r="J2" s="992"/>
      <c r="K2" s="992"/>
      <c r="L2" s="992"/>
      <c r="M2" s="992"/>
    </row>
    <row r="3" spans="1:13">
      <c r="A3" s="994" t="s">
        <v>1767</v>
      </c>
      <c r="B3" s="995"/>
      <c r="C3" s="995"/>
      <c r="D3" s="995"/>
      <c r="E3" s="995"/>
      <c r="F3" s="995"/>
      <c r="G3" s="995"/>
      <c r="H3" s="995"/>
      <c r="I3" s="995"/>
      <c r="J3" s="995"/>
      <c r="K3" s="995"/>
      <c r="L3" s="995"/>
      <c r="M3" s="995"/>
    </row>
    <row r="4" spans="1:13">
      <c r="A4" s="996" t="s">
        <v>1597</v>
      </c>
      <c r="B4" s="996" t="s">
        <v>579</v>
      </c>
      <c r="C4" s="996" t="s">
        <v>1599</v>
      </c>
      <c r="D4" s="996" t="s">
        <v>355</v>
      </c>
      <c r="E4" s="996" t="s">
        <v>149</v>
      </c>
      <c r="F4" s="996" t="s">
        <v>692</v>
      </c>
      <c r="G4" s="996" t="s">
        <v>693</v>
      </c>
      <c r="H4" s="996" t="s">
        <v>1604</v>
      </c>
      <c r="I4" s="996" t="s">
        <v>1606</v>
      </c>
      <c r="J4" s="996" t="s">
        <v>1591</v>
      </c>
      <c r="K4" s="996" t="s">
        <v>533</v>
      </c>
      <c r="L4" s="996" t="s">
        <v>500</v>
      </c>
      <c r="M4" s="996" t="s">
        <v>164</v>
      </c>
    </row>
    <row r="5" spans="1:13">
      <c r="A5" s="986" t="str">
        <f>IF(B5="","","PAY-"&amp;TEXT(ROW()-4,"000"))</f>
        <v>PAY-001</v>
      </c>
      <c r="B5" s="987" t="s">
        <v>601</v>
      </c>
      <c r="C5" s="987">
        <v>1</v>
      </c>
      <c r="D5" s="985" t="str">
        <f>IF(C5="","",IFERROR(VLOOKUP(C5,業者DB!A:B,2,FALSE),""))</f>
        <v>有限会社 山田建設</v>
      </c>
      <c r="E5" s="492" t="s">
        <v>1768</v>
      </c>
      <c r="F5" s="988">
        <v>46030</v>
      </c>
      <c r="G5" s="989">
        <v>85000</v>
      </c>
      <c r="H5" s="988">
        <v>46060</v>
      </c>
      <c r="I5" s="989">
        <v>85000</v>
      </c>
      <c r="J5" s="990">
        <f>IF(B5="","",IF(G5="","",G5-IF(I5="",0,I5)))</f>
        <v>0</v>
      </c>
      <c r="K5" s="986" t="str">
        <f>IF(B5="","",IF(G5="","",IF(J5&lt;=0,"✅支払済",IF(I5&lt;&gt;"","⚠一部支払",IF(F5&lt;&gt;"","❌未支払","")))))</f>
        <v>✅支払済</v>
      </c>
      <c r="L5" s="985" t="str">
        <f>IF(C5="","",IFERROR(VLOOKUP(C5,業者DB!A:I,9,FALSE),""))</f>
        <v>毎月末日締切・翌月21日払い</v>
      </c>
      <c r="M5" s="985"/>
    </row>
    <row r="6" spans="1:13">
      <c r="A6" s="986" t="str">
        <f t="shared" ref="A6:A69" si="0">IF(B6="","","PAY-"&amp;TEXT(ROW()-4,"000"))</f>
        <v>PAY-002</v>
      </c>
      <c r="B6" s="987" t="s">
        <v>601</v>
      </c>
      <c r="C6" s="987">
        <v>2</v>
      </c>
      <c r="D6" s="985" t="str">
        <f>IF(C6="","",IFERROR(VLOOKUP(C6,業者DB!A:B,2,FALSE),""))</f>
        <v>株式会社 アクア工業</v>
      </c>
      <c r="E6" s="492" t="s">
        <v>768</v>
      </c>
      <c r="F6" s="988">
        <v>46030</v>
      </c>
      <c r="G6" s="989">
        <v>120000</v>
      </c>
      <c r="H6" s="988">
        <v>46060</v>
      </c>
      <c r="I6" s="989">
        <v>120000</v>
      </c>
      <c r="J6" s="990">
        <f t="shared" ref="J6:J69" si="1">IF(B6="","",IF(G6="","",G6-IF(I6="",0,I6)))</f>
        <v>0</v>
      </c>
      <c r="K6" s="986" t="str">
        <f t="shared" ref="K6:K69" si="2">IF(B6="","",IF(G6="","",IF(J6&lt;=0,"✅支払済",IF(I6&lt;&gt;"","⚠一部支払",IF(F6&lt;&gt;"","❌未支払","")))))</f>
        <v>✅支払済</v>
      </c>
      <c r="L6" s="985" t="str">
        <f>IF(C6="","",IFERROR(VLOOKUP(C6,業者DB!A:I,9,FALSE),""))</f>
        <v>毎月末日締切・翌月21日払い</v>
      </c>
      <c r="M6" s="985"/>
    </row>
    <row r="7" spans="1:13">
      <c r="A7" s="986" t="str">
        <f t="shared" si="0"/>
        <v>PAY-003</v>
      </c>
      <c r="B7" s="987" t="s">
        <v>601</v>
      </c>
      <c r="C7" s="987">
        <v>4</v>
      </c>
      <c r="D7" s="985" t="str">
        <f>IF(C7="","",IFERROR(VLOOKUP(C7,業者DB!A:B,2,FALSE),""))</f>
        <v>株式会社 美装クラフト</v>
      </c>
      <c r="E7" s="492" t="s">
        <v>1769</v>
      </c>
      <c r="F7" s="988">
        <v>46040</v>
      </c>
      <c r="G7" s="989">
        <v>45500</v>
      </c>
      <c r="H7" s="988"/>
      <c r="I7" s="989"/>
      <c r="J7" s="990">
        <f t="shared" si="1"/>
        <v>45500</v>
      </c>
      <c r="K7" s="986" t="str">
        <f t="shared" si="2"/>
        <v>❌未支払</v>
      </c>
      <c r="L7" s="985" t="str">
        <f>IF(C7="","",IFERROR(VLOOKUP(C7,業者DB!A:I,9,FALSE),""))</f>
        <v>毎月末日締切・翌月21日払い</v>
      </c>
      <c r="M7" s="985"/>
    </row>
    <row r="8" spans="1:13">
      <c r="A8" s="986" t="str">
        <f t="shared" si="0"/>
        <v/>
      </c>
      <c r="B8" s="987"/>
      <c r="C8" s="987"/>
      <c r="D8" s="985" t="str">
        <f>IF(C8="","",IFERROR(VLOOKUP(C8,業者DB!A:B,2,FALSE),""))</f>
        <v/>
      </c>
      <c r="E8" s="492"/>
      <c r="F8" s="988"/>
      <c r="G8" s="989"/>
      <c r="H8" s="988"/>
      <c r="I8" s="989"/>
      <c r="J8" s="990" t="str">
        <f t="shared" si="1"/>
        <v/>
      </c>
      <c r="K8" s="986" t="str">
        <f t="shared" si="2"/>
        <v/>
      </c>
      <c r="L8" s="985" t="str">
        <f>IF(C8="","",IFERROR(VLOOKUP(C8,業者DB!A:I,9,FALSE),""))</f>
        <v/>
      </c>
      <c r="M8" s="985"/>
    </row>
    <row r="9" spans="1:13">
      <c r="A9" s="986" t="str">
        <f t="shared" si="0"/>
        <v/>
      </c>
      <c r="B9" s="987"/>
      <c r="C9" s="987"/>
      <c r="D9" s="985" t="str">
        <f>IF(C9="","",IFERROR(VLOOKUP(C9,業者DB!A:B,2,FALSE),""))</f>
        <v/>
      </c>
      <c r="E9" s="492"/>
      <c r="F9" s="988"/>
      <c r="G9" s="989"/>
      <c r="H9" s="988"/>
      <c r="I9" s="989"/>
      <c r="J9" s="990" t="str">
        <f t="shared" si="1"/>
        <v/>
      </c>
      <c r="K9" s="986" t="str">
        <f t="shared" si="2"/>
        <v/>
      </c>
      <c r="L9" s="985" t="str">
        <f>IF(C9="","",IFERROR(VLOOKUP(C9,業者DB!A:I,9,FALSE),""))</f>
        <v/>
      </c>
      <c r="M9" s="985"/>
    </row>
    <row r="10" spans="1:13">
      <c r="A10" s="986" t="str">
        <f t="shared" si="0"/>
        <v/>
      </c>
      <c r="B10" s="987"/>
      <c r="C10" s="987"/>
      <c r="D10" s="985" t="str">
        <f>IF(C10="","",IFERROR(VLOOKUP(C10,業者DB!A:B,2,FALSE),""))</f>
        <v/>
      </c>
      <c r="E10" s="492"/>
      <c r="F10" s="988"/>
      <c r="G10" s="989"/>
      <c r="H10" s="988"/>
      <c r="I10" s="989"/>
      <c r="J10" s="990" t="str">
        <f t="shared" si="1"/>
        <v/>
      </c>
      <c r="K10" s="986" t="str">
        <f t="shared" si="2"/>
        <v/>
      </c>
      <c r="L10" s="985" t="str">
        <f>IF(C10="","",IFERROR(VLOOKUP(C10,業者DB!A:I,9,FALSE),""))</f>
        <v/>
      </c>
      <c r="M10" s="985"/>
    </row>
    <row r="11" spans="1:13">
      <c r="A11" s="986" t="str">
        <f t="shared" si="0"/>
        <v/>
      </c>
      <c r="B11" s="987"/>
      <c r="C11" s="987"/>
      <c r="D11" s="985" t="str">
        <f>IF(C11="","",IFERROR(VLOOKUP(C11,業者DB!A:B,2,FALSE),""))</f>
        <v/>
      </c>
      <c r="E11" s="492"/>
      <c r="F11" s="988"/>
      <c r="G11" s="989"/>
      <c r="H11" s="988"/>
      <c r="I11" s="989"/>
      <c r="J11" s="990" t="str">
        <f t="shared" si="1"/>
        <v/>
      </c>
      <c r="K11" s="986" t="str">
        <f t="shared" si="2"/>
        <v/>
      </c>
      <c r="L11" s="985" t="str">
        <f>IF(C11="","",IFERROR(VLOOKUP(C11,業者DB!A:I,9,FALSE),""))</f>
        <v/>
      </c>
      <c r="M11" s="985"/>
    </row>
    <row r="12" spans="1:13">
      <c r="A12" s="986" t="str">
        <f t="shared" si="0"/>
        <v/>
      </c>
      <c r="B12" s="987"/>
      <c r="C12" s="987"/>
      <c r="D12" s="985" t="str">
        <f>IF(C12="","",IFERROR(VLOOKUP(C12,業者DB!A:B,2,FALSE),""))</f>
        <v/>
      </c>
      <c r="E12" s="492"/>
      <c r="F12" s="988"/>
      <c r="G12" s="989"/>
      <c r="H12" s="988"/>
      <c r="I12" s="989"/>
      <c r="J12" s="990" t="str">
        <f t="shared" si="1"/>
        <v/>
      </c>
      <c r="K12" s="986" t="str">
        <f t="shared" si="2"/>
        <v/>
      </c>
      <c r="L12" s="985" t="str">
        <f>IF(C12="","",IFERROR(VLOOKUP(C12,業者DB!A:I,9,FALSE),""))</f>
        <v/>
      </c>
      <c r="M12" s="985"/>
    </row>
    <row r="13" spans="1:13">
      <c r="A13" s="986" t="str">
        <f t="shared" si="0"/>
        <v/>
      </c>
      <c r="B13" s="987"/>
      <c r="C13" s="987"/>
      <c r="D13" s="985" t="str">
        <f>IF(C13="","",IFERROR(VLOOKUP(C13,業者DB!A:B,2,FALSE),""))</f>
        <v/>
      </c>
      <c r="E13" s="492"/>
      <c r="F13" s="988"/>
      <c r="G13" s="989"/>
      <c r="H13" s="988"/>
      <c r="I13" s="989"/>
      <c r="J13" s="990" t="str">
        <f t="shared" si="1"/>
        <v/>
      </c>
      <c r="K13" s="986" t="str">
        <f t="shared" si="2"/>
        <v/>
      </c>
      <c r="L13" s="985" t="str">
        <f>IF(C13="","",IFERROR(VLOOKUP(C13,業者DB!A:I,9,FALSE),""))</f>
        <v/>
      </c>
      <c r="M13" s="985"/>
    </row>
    <row r="14" spans="1:13">
      <c r="A14" s="986" t="str">
        <f t="shared" si="0"/>
        <v/>
      </c>
      <c r="B14" s="987"/>
      <c r="C14" s="987"/>
      <c r="D14" s="985" t="str">
        <f>IF(C14="","",IFERROR(VLOOKUP(C14,業者DB!A:B,2,FALSE),""))</f>
        <v/>
      </c>
      <c r="E14" s="492"/>
      <c r="F14" s="988"/>
      <c r="G14" s="989"/>
      <c r="H14" s="988"/>
      <c r="I14" s="989"/>
      <c r="J14" s="990" t="str">
        <f t="shared" si="1"/>
        <v/>
      </c>
      <c r="K14" s="986" t="str">
        <f t="shared" si="2"/>
        <v/>
      </c>
      <c r="L14" s="985" t="str">
        <f>IF(C14="","",IFERROR(VLOOKUP(C14,業者DB!A:I,9,FALSE),""))</f>
        <v/>
      </c>
      <c r="M14" s="985"/>
    </row>
    <row r="15" spans="1:13">
      <c r="A15" s="986" t="str">
        <f t="shared" si="0"/>
        <v/>
      </c>
      <c r="B15" s="987"/>
      <c r="C15" s="987"/>
      <c r="D15" s="985" t="str">
        <f>IF(C15="","",IFERROR(VLOOKUP(C15,業者DB!A:B,2,FALSE),""))</f>
        <v/>
      </c>
      <c r="E15" s="492"/>
      <c r="F15" s="988"/>
      <c r="G15" s="989"/>
      <c r="H15" s="988"/>
      <c r="I15" s="989"/>
      <c r="J15" s="990" t="str">
        <f t="shared" si="1"/>
        <v/>
      </c>
      <c r="K15" s="986" t="str">
        <f t="shared" si="2"/>
        <v/>
      </c>
      <c r="L15" s="985" t="str">
        <f>IF(C15="","",IFERROR(VLOOKUP(C15,業者DB!A:I,9,FALSE),""))</f>
        <v/>
      </c>
      <c r="M15" s="985"/>
    </row>
    <row r="16" spans="1:13">
      <c r="A16" s="986" t="str">
        <f t="shared" si="0"/>
        <v/>
      </c>
      <c r="B16" s="987"/>
      <c r="C16" s="987"/>
      <c r="D16" s="985" t="str">
        <f>IF(C16="","",IFERROR(VLOOKUP(C16,業者DB!A:B,2,FALSE),""))</f>
        <v/>
      </c>
      <c r="E16" s="492"/>
      <c r="F16" s="988"/>
      <c r="G16" s="989"/>
      <c r="H16" s="988"/>
      <c r="I16" s="989"/>
      <c r="J16" s="990" t="str">
        <f t="shared" si="1"/>
        <v/>
      </c>
      <c r="K16" s="986" t="str">
        <f t="shared" si="2"/>
        <v/>
      </c>
      <c r="L16" s="985" t="str">
        <f>IF(C16="","",IFERROR(VLOOKUP(C16,業者DB!A:I,9,FALSE),""))</f>
        <v/>
      </c>
      <c r="M16" s="985"/>
    </row>
    <row r="17" spans="1:13">
      <c r="A17" s="986" t="str">
        <f t="shared" si="0"/>
        <v/>
      </c>
      <c r="B17" s="987"/>
      <c r="C17" s="987"/>
      <c r="D17" s="985" t="str">
        <f>IF(C17="","",IFERROR(VLOOKUP(C17,業者DB!A:B,2,FALSE),""))</f>
        <v/>
      </c>
      <c r="E17" s="492"/>
      <c r="F17" s="988"/>
      <c r="G17" s="989"/>
      <c r="H17" s="988"/>
      <c r="I17" s="989"/>
      <c r="J17" s="990" t="str">
        <f t="shared" si="1"/>
        <v/>
      </c>
      <c r="K17" s="986" t="str">
        <f t="shared" si="2"/>
        <v/>
      </c>
      <c r="L17" s="985" t="str">
        <f>IF(C17="","",IFERROR(VLOOKUP(C17,業者DB!A:I,9,FALSE),""))</f>
        <v/>
      </c>
      <c r="M17" s="985"/>
    </row>
    <row r="18" spans="1:13">
      <c r="A18" s="986" t="str">
        <f t="shared" si="0"/>
        <v/>
      </c>
      <c r="B18" s="987"/>
      <c r="C18" s="987"/>
      <c r="D18" s="985" t="str">
        <f>IF(C18="","",IFERROR(VLOOKUP(C18,業者DB!A:B,2,FALSE),""))</f>
        <v/>
      </c>
      <c r="E18" s="492"/>
      <c r="F18" s="988"/>
      <c r="G18" s="989"/>
      <c r="H18" s="988"/>
      <c r="I18" s="989"/>
      <c r="J18" s="990" t="str">
        <f t="shared" si="1"/>
        <v/>
      </c>
      <c r="K18" s="986" t="str">
        <f t="shared" si="2"/>
        <v/>
      </c>
      <c r="L18" s="985" t="str">
        <f>IF(C18="","",IFERROR(VLOOKUP(C18,業者DB!A:I,9,FALSE),""))</f>
        <v/>
      </c>
      <c r="M18" s="985"/>
    </row>
    <row r="19" spans="1:13">
      <c r="A19" s="986" t="str">
        <f t="shared" si="0"/>
        <v/>
      </c>
      <c r="B19" s="987"/>
      <c r="C19" s="987"/>
      <c r="D19" s="985" t="str">
        <f>IF(C19="","",IFERROR(VLOOKUP(C19,業者DB!A:B,2,FALSE),""))</f>
        <v/>
      </c>
      <c r="E19" s="492"/>
      <c r="F19" s="988"/>
      <c r="G19" s="989"/>
      <c r="H19" s="988"/>
      <c r="I19" s="989"/>
      <c r="J19" s="990" t="str">
        <f t="shared" si="1"/>
        <v/>
      </c>
      <c r="K19" s="986" t="str">
        <f t="shared" si="2"/>
        <v/>
      </c>
      <c r="L19" s="985" t="str">
        <f>IF(C19="","",IFERROR(VLOOKUP(C19,業者DB!A:I,9,FALSE),""))</f>
        <v/>
      </c>
      <c r="M19" s="985"/>
    </row>
    <row r="20" spans="1:13">
      <c r="A20" s="986" t="str">
        <f t="shared" si="0"/>
        <v/>
      </c>
      <c r="B20" s="987"/>
      <c r="C20" s="987"/>
      <c r="D20" s="985" t="str">
        <f>IF(C20="","",IFERROR(VLOOKUP(C20,業者DB!A:B,2,FALSE),""))</f>
        <v/>
      </c>
      <c r="E20" s="492"/>
      <c r="F20" s="988"/>
      <c r="G20" s="989"/>
      <c r="H20" s="988"/>
      <c r="I20" s="989"/>
      <c r="J20" s="990" t="str">
        <f t="shared" si="1"/>
        <v/>
      </c>
      <c r="K20" s="986" t="str">
        <f t="shared" si="2"/>
        <v/>
      </c>
      <c r="L20" s="985" t="str">
        <f>IF(C20="","",IFERROR(VLOOKUP(C20,業者DB!A:I,9,FALSE),""))</f>
        <v/>
      </c>
      <c r="M20" s="985"/>
    </row>
    <row r="21" spans="1:13">
      <c r="A21" s="986" t="str">
        <f t="shared" si="0"/>
        <v/>
      </c>
      <c r="B21" s="987"/>
      <c r="C21" s="987"/>
      <c r="D21" s="985" t="str">
        <f>IF(C21="","",IFERROR(VLOOKUP(C21,業者DB!A:B,2,FALSE),""))</f>
        <v/>
      </c>
      <c r="E21" s="492"/>
      <c r="F21" s="988"/>
      <c r="G21" s="989"/>
      <c r="H21" s="988"/>
      <c r="I21" s="989"/>
      <c r="J21" s="990" t="str">
        <f t="shared" si="1"/>
        <v/>
      </c>
      <c r="K21" s="986" t="str">
        <f t="shared" si="2"/>
        <v/>
      </c>
      <c r="L21" s="985" t="str">
        <f>IF(C21="","",IFERROR(VLOOKUP(C21,業者DB!A:I,9,FALSE),""))</f>
        <v/>
      </c>
      <c r="M21" s="985"/>
    </row>
    <row r="22" spans="1:13">
      <c r="A22" s="986" t="str">
        <f t="shared" si="0"/>
        <v/>
      </c>
      <c r="B22" s="987"/>
      <c r="C22" s="987"/>
      <c r="D22" s="985" t="str">
        <f>IF(C22="","",IFERROR(VLOOKUP(C22,業者DB!A:B,2,FALSE),""))</f>
        <v/>
      </c>
      <c r="E22" s="492"/>
      <c r="F22" s="988"/>
      <c r="G22" s="989"/>
      <c r="H22" s="988"/>
      <c r="I22" s="989"/>
      <c r="J22" s="990" t="str">
        <f t="shared" si="1"/>
        <v/>
      </c>
      <c r="K22" s="986" t="str">
        <f t="shared" si="2"/>
        <v/>
      </c>
      <c r="L22" s="985" t="str">
        <f>IF(C22="","",IFERROR(VLOOKUP(C22,業者DB!A:I,9,FALSE),""))</f>
        <v/>
      </c>
      <c r="M22" s="985"/>
    </row>
    <row r="23" spans="1:13">
      <c r="A23" s="986" t="str">
        <f t="shared" si="0"/>
        <v/>
      </c>
      <c r="B23" s="987"/>
      <c r="C23" s="987"/>
      <c r="D23" s="985" t="str">
        <f>IF(C23="","",IFERROR(VLOOKUP(C23,業者DB!A:B,2,FALSE),""))</f>
        <v/>
      </c>
      <c r="E23" s="492"/>
      <c r="F23" s="988"/>
      <c r="G23" s="989"/>
      <c r="H23" s="988"/>
      <c r="I23" s="989"/>
      <c r="J23" s="990" t="str">
        <f t="shared" si="1"/>
        <v/>
      </c>
      <c r="K23" s="986" t="str">
        <f t="shared" si="2"/>
        <v/>
      </c>
      <c r="L23" s="985" t="str">
        <f>IF(C23="","",IFERROR(VLOOKUP(C23,業者DB!A:I,9,FALSE),""))</f>
        <v/>
      </c>
      <c r="M23" s="985"/>
    </row>
    <row r="24" spans="1:13">
      <c r="A24" s="986" t="str">
        <f t="shared" si="0"/>
        <v/>
      </c>
      <c r="B24" s="987"/>
      <c r="C24" s="987"/>
      <c r="D24" s="985" t="str">
        <f>IF(C24="","",IFERROR(VLOOKUP(C24,業者DB!A:B,2,FALSE),""))</f>
        <v/>
      </c>
      <c r="E24" s="492"/>
      <c r="F24" s="988"/>
      <c r="G24" s="989"/>
      <c r="H24" s="988"/>
      <c r="I24" s="989"/>
      <c r="J24" s="990" t="str">
        <f t="shared" si="1"/>
        <v/>
      </c>
      <c r="K24" s="986" t="str">
        <f t="shared" si="2"/>
        <v/>
      </c>
      <c r="L24" s="985" t="str">
        <f>IF(C24="","",IFERROR(VLOOKUP(C24,業者DB!A:I,9,FALSE),""))</f>
        <v/>
      </c>
      <c r="M24" s="985"/>
    </row>
    <row r="25" spans="1:13">
      <c r="A25" s="986" t="str">
        <f t="shared" si="0"/>
        <v/>
      </c>
      <c r="B25" s="987"/>
      <c r="C25" s="987"/>
      <c r="D25" s="985" t="str">
        <f>IF(C25="","",IFERROR(VLOOKUP(C25,業者DB!A:B,2,FALSE),""))</f>
        <v/>
      </c>
      <c r="E25" s="492"/>
      <c r="F25" s="988"/>
      <c r="G25" s="989"/>
      <c r="H25" s="988"/>
      <c r="I25" s="989"/>
      <c r="J25" s="990" t="str">
        <f t="shared" si="1"/>
        <v/>
      </c>
      <c r="K25" s="986" t="str">
        <f t="shared" si="2"/>
        <v/>
      </c>
      <c r="L25" s="985" t="str">
        <f>IF(C25="","",IFERROR(VLOOKUP(C25,業者DB!A:I,9,FALSE),""))</f>
        <v/>
      </c>
      <c r="M25" s="985"/>
    </row>
    <row r="26" spans="1:13">
      <c r="A26" s="986" t="str">
        <f t="shared" si="0"/>
        <v/>
      </c>
      <c r="B26" s="987"/>
      <c r="C26" s="987"/>
      <c r="D26" s="985" t="str">
        <f>IF(C26="","",IFERROR(VLOOKUP(C26,業者DB!A:B,2,FALSE),""))</f>
        <v/>
      </c>
      <c r="E26" s="492"/>
      <c r="F26" s="988"/>
      <c r="G26" s="989"/>
      <c r="H26" s="988"/>
      <c r="I26" s="989"/>
      <c r="J26" s="990" t="str">
        <f t="shared" si="1"/>
        <v/>
      </c>
      <c r="K26" s="986" t="str">
        <f t="shared" si="2"/>
        <v/>
      </c>
      <c r="L26" s="985" t="str">
        <f>IF(C26="","",IFERROR(VLOOKUP(C26,業者DB!A:I,9,FALSE),""))</f>
        <v/>
      </c>
      <c r="M26" s="985"/>
    </row>
    <row r="27" spans="1:13">
      <c r="A27" s="986" t="str">
        <f t="shared" si="0"/>
        <v/>
      </c>
      <c r="B27" s="987"/>
      <c r="C27" s="987"/>
      <c r="D27" s="985" t="str">
        <f>IF(C27="","",IFERROR(VLOOKUP(C27,業者DB!A:B,2,FALSE),""))</f>
        <v/>
      </c>
      <c r="E27" s="492"/>
      <c r="F27" s="988"/>
      <c r="G27" s="989"/>
      <c r="H27" s="988"/>
      <c r="I27" s="989"/>
      <c r="J27" s="990" t="str">
        <f t="shared" si="1"/>
        <v/>
      </c>
      <c r="K27" s="986" t="str">
        <f t="shared" si="2"/>
        <v/>
      </c>
      <c r="L27" s="985" t="str">
        <f>IF(C27="","",IFERROR(VLOOKUP(C27,業者DB!A:I,9,FALSE),""))</f>
        <v/>
      </c>
      <c r="M27" s="985"/>
    </row>
    <row r="28" spans="1:13">
      <c r="A28" s="986" t="str">
        <f t="shared" si="0"/>
        <v/>
      </c>
      <c r="B28" s="987"/>
      <c r="C28" s="987"/>
      <c r="D28" s="985" t="str">
        <f>IF(C28="","",IFERROR(VLOOKUP(C28,業者DB!A:B,2,FALSE),""))</f>
        <v/>
      </c>
      <c r="E28" s="492"/>
      <c r="F28" s="988"/>
      <c r="G28" s="989"/>
      <c r="H28" s="988"/>
      <c r="I28" s="989"/>
      <c r="J28" s="990" t="str">
        <f t="shared" si="1"/>
        <v/>
      </c>
      <c r="K28" s="986" t="str">
        <f t="shared" si="2"/>
        <v/>
      </c>
      <c r="L28" s="985" t="str">
        <f>IF(C28="","",IFERROR(VLOOKUP(C28,業者DB!A:I,9,FALSE),""))</f>
        <v/>
      </c>
      <c r="M28" s="985"/>
    </row>
    <row r="29" spans="1:13">
      <c r="A29" s="986" t="str">
        <f t="shared" si="0"/>
        <v/>
      </c>
      <c r="B29" s="987"/>
      <c r="C29" s="987"/>
      <c r="D29" s="985" t="str">
        <f>IF(C29="","",IFERROR(VLOOKUP(C29,業者DB!A:B,2,FALSE),""))</f>
        <v/>
      </c>
      <c r="E29" s="492"/>
      <c r="F29" s="988"/>
      <c r="G29" s="989"/>
      <c r="H29" s="988"/>
      <c r="I29" s="989"/>
      <c r="J29" s="990" t="str">
        <f t="shared" si="1"/>
        <v/>
      </c>
      <c r="K29" s="986" t="str">
        <f t="shared" si="2"/>
        <v/>
      </c>
      <c r="L29" s="985" t="str">
        <f>IF(C29="","",IFERROR(VLOOKUP(C29,業者DB!A:I,9,FALSE),""))</f>
        <v/>
      </c>
      <c r="M29" s="985"/>
    </row>
    <row r="30" spans="1:13">
      <c r="A30" s="986" t="str">
        <f t="shared" si="0"/>
        <v/>
      </c>
      <c r="B30" s="987"/>
      <c r="C30" s="987"/>
      <c r="D30" s="985" t="str">
        <f>IF(C30="","",IFERROR(VLOOKUP(C30,業者DB!A:B,2,FALSE),""))</f>
        <v/>
      </c>
      <c r="E30" s="492"/>
      <c r="F30" s="988"/>
      <c r="G30" s="989"/>
      <c r="H30" s="988"/>
      <c r="I30" s="989"/>
      <c r="J30" s="990" t="str">
        <f t="shared" si="1"/>
        <v/>
      </c>
      <c r="K30" s="986" t="str">
        <f t="shared" si="2"/>
        <v/>
      </c>
      <c r="L30" s="985" t="str">
        <f>IF(C30="","",IFERROR(VLOOKUP(C30,業者DB!A:I,9,FALSE),""))</f>
        <v/>
      </c>
      <c r="M30" s="985"/>
    </row>
    <row r="31" spans="1:13">
      <c r="A31" s="986" t="str">
        <f t="shared" si="0"/>
        <v/>
      </c>
      <c r="B31" s="987"/>
      <c r="C31" s="987"/>
      <c r="D31" s="985" t="str">
        <f>IF(C31="","",IFERROR(VLOOKUP(C31,業者DB!A:B,2,FALSE),""))</f>
        <v/>
      </c>
      <c r="E31" s="492"/>
      <c r="F31" s="988"/>
      <c r="G31" s="989"/>
      <c r="H31" s="988"/>
      <c r="I31" s="989"/>
      <c r="J31" s="990" t="str">
        <f t="shared" si="1"/>
        <v/>
      </c>
      <c r="K31" s="986" t="str">
        <f t="shared" si="2"/>
        <v/>
      </c>
      <c r="L31" s="985" t="str">
        <f>IF(C31="","",IFERROR(VLOOKUP(C31,業者DB!A:I,9,FALSE),""))</f>
        <v/>
      </c>
      <c r="M31" s="985"/>
    </row>
    <row r="32" spans="1:13">
      <c r="A32" s="986" t="str">
        <f t="shared" si="0"/>
        <v/>
      </c>
      <c r="B32" s="987"/>
      <c r="C32" s="987"/>
      <c r="D32" s="985" t="str">
        <f>IF(C32="","",IFERROR(VLOOKUP(C32,業者DB!A:B,2,FALSE),""))</f>
        <v/>
      </c>
      <c r="E32" s="492"/>
      <c r="F32" s="988"/>
      <c r="G32" s="989"/>
      <c r="H32" s="988"/>
      <c r="I32" s="989"/>
      <c r="J32" s="990" t="str">
        <f t="shared" si="1"/>
        <v/>
      </c>
      <c r="K32" s="986" t="str">
        <f t="shared" si="2"/>
        <v/>
      </c>
      <c r="L32" s="985" t="str">
        <f>IF(C32="","",IFERROR(VLOOKUP(C32,業者DB!A:I,9,FALSE),""))</f>
        <v/>
      </c>
      <c r="M32" s="985"/>
    </row>
    <row r="33" spans="1:13">
      <c r="A33" s="986" t="str">
        <f t="shared" si="0"/>
        <v/>
      </c>
      <c r="B33" s="987"/>
      <c r="C33" s="987"/>
      <c r="D33" s="985" t="str">
        <f>IF(C33="","",IFERROR(VLOOKUP(C33,業者DB!A:B,2,FALSE),""))</f>
        <v/>
      </c>
      <c r="E33" s="492"/>
      <c r="F33" s="988"/>
      <c r="G33" s="989"/>
      <c r="H33" s="988"/>
      <c r="I33" s="989"/>
      <c r="J33" s="990" t="str">
        <f t="shared" si="1"/>
        <v/>
      </c>
      <c r="K33" s="986" t="str">
        <f t="shared" si="2"/>
        <v/>
      </c>
      <c r="L33" s="985" t="str">
        <f>IF(C33="","",IFERROR(VLOOKUP(C33,業者DB!A:I,9,FALSE),""))</f>
        <v/>
      </c>
      <c r="M33" s="985"/>
    </row>
    <row r="34" spans="1:13">
      <c r="A34" s="986" t="str">
        <f t="shared" si="0"/>
        <v/>
      </c>
      <c r="B34" s="987"/>
      <c r="C34" s="987"/>
      <c r="D34" s="985" t="str">
        <f>IF(C34="","",IFERROR(VLOOKUP(C34,業者DB!A:B,2,FALSE),""))</f>
        <v/>
      </c>
      <c r="E34" s="492"/>
      <c r="F34" s="988"/>
      <c r="G34" s="989"/>
      <c r="H34" s="988"/>
      <c r="I34" s="989"/>
      <c r="J34" s="990" t="str">
        <f t="shared" si="1"/>
        <v/>
      </c>
      <c r="K34" s="986" t="str">
        <f t="shared" si="2"/>
        <v/>
      </c>
      <c r="L34" s="985" t="str">
        <f>IF(C34="","",IFERROR(VLOOKUP(C34,業者DB!A:I,9,FALSE),""))</f>
        <v/>
      </c>
      <c r="M34" s="985"/>
    </row>
    <row r="35" spans="1:13">
      <c r="A35" s="986" t="str">
        <f t="shared" si="0"/>
        <v/>
      </c>
      <c r="B35" s="987"/>
      <c r="C35" s="987"/>
      <c r="D35" s="985" t="str">
        <f>IF(C35="","",IFERROR(VLOOKUP(C35,業者DB!A:B,2,FALSE),""))</f>
        <v/>
      </c>
      <c r="E35" s="492"/>
      <c r="F35" s="988"/>
      <c r="G35" s="989"/>
      <c r="H35" s="988"/>
      <c r="I35" s="989"/>
      <c r="J35" s="990" t="str">
        <f t="shared" si="1"/>
        <v/>
      </c>
      <c r="K35" s="986" t="str">
        <f t="shared" si="2"/>
        <v/>
      </c>
      <c r="L35" s="985" t="str">
        <f>IF(C35="","",IFERROR(VLOOKUP(C35,業者DB!A:I,9,FALSE),""))</f>
        <v/>
      </c>
      <c r="M35" s="985"/>
    </row>
    <row r="36" spans="1:13">
      <c r="A36" s="986" t="str">
        <f t="shared" si="0"/>
        <v/>
      </c>
      <c r="B36" s="987"/>
      <c r="C36" s="987"/>
      <c r="D36" s="985" t="str">
        <f>IF(C36="","",IFERROR(VLOOKUP(C36,業者DB!A:B,2,FALSE),""))</f>
        <v/>
      </c>
      <c r="E36" s="492"/>
      <c r="F36" s="988"/>
      <c r="G36" s="989"/>
      <c r="H36" s="988"/>
      <c r="I36" s="989"/>
      <c r="J36" s="990" t="str">
        <f t="shared" si="1"/>
        <v/>
      </c>
      <c r="K36" s="986" t="str">
        <f t="shared" si="2"/>
        <v/>
      </c>
      <c r="L36" s="985" t="str">
        <f>IF(C36="","",IFERROR(VLOOKUP(C36,業者DB!A:I,9,FALSE),""))</f>
        <v/>
      </c>
      <c r="M36" s="985"/>
    </row>
    <row r="37" spans="1:13">
      <c r="A37" s="986" t="str">
        <f t="shared" si="0"/>
        <v/>
      </c>
      <c r="B37" s="987"/>
      <c r="C37" s="987"/>
      <c r="D37" s="985" t="str">
        <f>IF(C37="","",IFERROR(VLOOKUP(C37,業者DB!A:B,2,FALSE),""))</f>
        <v/>
      </c>
      <c r="E37" s="492"/>
      <c r="F37" s="988"/>
      <c r="G37" s="989"/>
      <c r="H37" s="988"/>
      <c r="I37" s="989"/>
      <c r="J37" s="990" t="str">
        <f t="shared" si="1"/>
        <v/>
      </c>
      <c r="K37" s="986" t="str">
        <f t="shared" si="2"/>
        <v/>
      </c>
      <c r="L37" s="985" t="str">
        <f>IF(C37="","",IFERROR(VLOOKUP(C37,業者DB!A:I,9,FALSE),""))</f>
        <v/>
      </c>
      <c r="M37" s="985"/>
    </row>
    <row r="38" spans="1:13">
      <c r="A38" s="986" t="str">
        <f t="shared" si="0"/>
        <v/>
      </c>
      <c r="B38" s="987"/>
      <c r="C38" s="987"/>
      <c r="D38" s="985" t="str">
        <f>IF(C38="","",IFERROR(VLOOKUP(C38,業者DB!A:B,2,FALSE),""))</f>
        <v/>
      </c>
      <c r="E38" s="492"/>
      <c r="F38" s="988"/>
      <c r="G38" s="989"/>
      <c r="H38" s="988"/>
      <c r="I38" s="989"/>
      <c r="J38" s="990" t="str">
        <f t="shared" si="1"/>
        <v/>
      </c>
      <c r="K38" s="986" t="str">
        <f t="shared" si="2"/>
        <v/>
      </c>
      <c r="L38" s="985" t="str">
        <f>IF(C38="","",IFERROR(VLOOKUP(C38,業者DB!A:I,9,FALSE),""))</f>
        <v/>
      </c>
      <c r="M38" s="985"/>
    </row>
    <row r="39" spans="1:13">
      <c r="A39" s="986" t="str">
        <f t="shared" si="0"/>
        <v/>
      </c>
      <c r="B39" s="987"/>
      <c r="C39" s="987"/>
      <c r="D39" s="985" t="str">
        <f>IF(C39="","",IFERROR(VLOOKUP(C39,業者DB!A:B,2,FALSE),""))</f>
        <v/>
      </c>
      <c r="E39" s="492"/>
      <c r="F39" s="988"/>
      <c r="G39" s="989"/>
      <c r="H39" s="988"/>
      <c r="I39" s="989"/>
      <c r="J39" s="990" t="str">
        <f t="shared" si="1"/>
        <v/>
      </c>
      <c r="K39" s="986" t="str">
        <f t="shared" si="2"/>
        <v/>
      </c>
      <c r="L39" s="985" t="str">
        <f>IF(C39="","",IFERROR(VLOOKUP(C39,業者DB!A:I,9,FALSE),""))</f>
        <v/>
      </c>
      <c r="M39" s="985"/>
    </row>
    <row r="40" spans="1:13">
      <c r="A40" s="986" t="str">
        <f t="shared" si="0"/>
        <v/>
      </c>
      <c r="B40" s="987"/>
      <c r="C40" s="987"/>
      <c r="D40" s="985" t="str">
        <f>IF(C40="","",IFERROR(VLOOKUP(C40,業者DB!A:B,2,FALSE),""))</f>
        <v/>
      </c>
      <c r="E40" s="492"/>
      <c r="F40" s="988"/>
      <c r="G40" s="989"/>
      <c r="H40" s="988"/>
      <c r="I40" s="989"/>
      <c r="J40" s="990" t="str">
        <f t="shared" si="1"/>
        <v/>
      </c>
      <c r="K40" s="986" t="str">
        <f t="shared" si="2"/>
        <v/>
      </c>
      <c r="L40" s="985" t="str">
        <f>IF(C40="","",IFERROR(VLOOKUP(C40,業者DB!A:I,9,FALSE),""))</f>
        <v/>
      </c>
      <c r="M40" s="985"/>
    </row>
    <row r="41" spans="1:13">
      <c r="A41" s="986" t="str">
        <f t="shared" si="0"/>
        <v/>
      </c>
      <c r="B41" s="987"/>
      <c r="C41" s="987"/>
      <c r="D41" s="985" t="str">
        <f>IF(C41="","",IFERROR(VLOOKUP(C41,業者DB!A:B,2,FALSE),""))</f>
        <v/>
      </c>
      <c r="E41" s="492"/>
      <c r="F41" s="988"/>
      <c r="G41" s="989"/>
      <c r="H41" s="988"/>
      <c r="I41" s="989"/>
      <c r="J41" s="990" t="str">
        <f t="shared" si="1"/>
        <v/>
      </c>
      <c r="K41" s="986" t="str">
        <f t="shared" si="2"/>
        <v/>
      </c>
      <c r="L41" s="985" t="str">
        <f>IF(C41="","",IFERROR(VLOOKUP(C41,業者DB!A:I,9,FALSE),""))</f>
        <v/>
      </c>
      <c r="M41" s="985"/>
    </row>
    <row r="42" spans="1:13">
      <c r="A42" s="986" t="str">
        <f t="shared" si="0"/>
        <v/>
      </c>
      <c r="B42" s="987"/>
      <c r="C42" s="987"/>
      <c r="D42" s="985" t="str">
        <f>IF(C42="","",IFERROR(VLOOKUP(C42,業者DB!A:B,2,FALSE),""))</f>
        <v/>
      </c>
      <c r="E42" s="492"/>
      <c r="F42" s="988"/>
      <c r="G42" s="989"/>
      <c r="H42" s="988"/>
      <c r="I42" s="989"/>
      <c r="J42" s="990" t="str">
        <f t="shared" si="1"/>
        <v/>
      </c>
      <c r="K42" s="986" t="str">
        <f t="shared" si="2"/>
        <v/>
      </c>
      <c r="L42" s="985" t="str">
        <f>IF(C42="","",IFERROR(VLOOKUP(C42,業者DB!A:I,9,FALSE),""))</f>
        <v/>
      </c>
      <c r="M42" s="985"/>
    </row>
    <row r="43" spans="1:13">
      <c r="A43" s="986" t="str">
        <f t="shared" si="0"/>
        <v/>
      </c>
      <c r="B43" s="987"/>
      <c r="C43" s="987"/>
      <c r="D43" s="985" t="str">
        <f>IF(C43="","",IFERROR(VLOOKUP(C43,業者DB!A:B,2,FALSE),""))</f>
        <v/>
      </c>
      <c r="E43" s="492"/>
      <c r="F43" s="988"/>
      <c r="G43" s="989"/>
      <c r="H43" s="988"/>
      <c r="I43" s="989"/>
      <c r="J43" s="990" t="str">
        <f t="shared" si="1"/>
        <v/>
      </c>
      <c r="K43" s="986" t="str">
        <f t="shared" si="2"/>
        <v/>
      </c>
      <c r="L43" s="985" t="str">
        <f>IF(C43="","",IFERROR(VLOOKUP(C43,業者DB!A:I,9,FALSE),""))</f>
        <v/>
      </c>
      <c r="M43" s="985"/>
    </row>
    <row r="44" spans="1:13">
      <c r="A44" s="986" t="str">
        <f t="shared" si="0"/>
        <v/>
      </c>
      <c r="B44" s="987"/>
      <c r="C44" s="987"/>
      <c r="D44" s="985" t="str">
        <f>IF(C44="","",IFERROR(VLOOKUP(C44,業者DB!A:B,2,FALSE),""))</f>
        <v/>
      </c>
      <c r="E44" s="492"/>
      <c r="F44" s="988"/>
      <c r="G44" s="989"/>
      <c r="H44" s="988"/>
      <c r="I44" s="989"/>
      <c r="J44" s="990" t="str">
        <f t="shared" si="1"/>
        <v/>
      </c>
      <c r="K44" s="986" t="str">
        <f t="shared" si="2"/>
        <v/>
      </c>
      <c r="L44" s="985" t="str">
        <f>IF(C44="","",IFERROR(VLOOKUP(C44,業者DB!A:I,9,FALSE),""))</f>
        <v/>
      </c>
      <c r="M44" s="985"/>
    </row>
    <row r="45" spans="1:13">
      <c r="A45" s="986" t="str">
        <f t="shared" si="0"/>
        <v/>
      </c>
      <c r="B45" s="987"/>
      <c r="C45" s="987"/>
      <c r="D45" s="985" t="str">
        <f>IF(C45="","",IFERROR(VLOOKUP(C45,業者DB!A:B,2,FALSE),""))</f>
        <v/>
      </c>
      <c r="E45" s="492"/>
      <c r="F45" s="988"/>
      <c r="G45" s="989"/>
      <c r="H45" s="988"/>
      <c r="I45" s="989"/>
      <c r="J45" s="990" t="str">
        <f t="shared" si="1"/>
        <v/>
      </c>
      <c r="K45" s="986" t="str">
        <f t="shared" si="2"/>
        <v/>
      </c>
      <c r="L45" s="985" t="str">
        <f>IF(C45="","",IFERROR(VLOOKUP(C45,業者DB!A:I,9,FALSE),""))</f>
        <v/>
      </c>
      <c r="M45" s="985"/>
    </row>
    <row r="46" spans="1:13">
      <c r="A46" s="986" t="str">
        <f t="shared" si="0"/>
        <v/>
      </c>
      <c r="B46" s="987"/>
      <c r="C46" s="987"/>
      <c r="D46" s="985" t="str">
        <f>IF(C46="","",IFERROR(VLOOKUP(C46,業者DB!A:B,2,FALSE),""))</f>
        <v/>
      </c>
      <c r="E46" s="492"/>
      <c r="F46" s="988"/>
      <c r="G46" s="989"/>
      <c r="H46" s="988"/>
      <c r="I46" s="989"/>
      <c r="J46" s="990" t="str">
        <f t="shared" si="1"/>
        <v/>
      </c>
      <c r="K46" s="986" t="str">
        <f t="shared" si="2"/>
        <v/>
      </c>
      <c r="L46" s="985" t="str">
        <f>IF(C46="","",IFERROR(VLOOKUP(C46,業者DB!A:I,9,FALSE),""))</f>
        <v/>
      </c>
      <c r="M46" s="985"/>
    </row>
    <row r="47" spans="1:13">
      <c r="A47" s="986" t="str">
        <f t="shared" si="0"/>
        <v/>
      </c>
      <c r="B47" s="987"/>
      <c r="C47" s="987"/>
      <c r="D47" s="985" t="str">
        <f>IF(C47="","",IFERROR(VLOOKUP(C47,業者DB!A:B,2,FALSE),""))</f>
        <v/>
      </c>
      <c r="E47" s="492"/>
      <c r="F47" s="988"/>
      <c r="G47" s="989"/>
      <c r="H47" s="988"/>
      <c r="I47" s="989"/>
      <c r="J47" s="990" t="str">
        <f t="shared" si="1"/>
        <v/>
      </c>
      <c r="K47" s="986" t="str">
        <f t="shared" si="2"/>
        <v/>
      </c>
      <c r="L47" s="985" t="str">
        <f>IF(C47="","",IFERROR(VLOOKUP(C47,業者DB!A:I,9,FALSE),""))</f>
        <v/>
      </c>
      <c r="M47" s="985"/>
    </row>
    <row r="48" spans="1:13">
      <c r="A48" s="986" t="str">
        <f t="shared" si="0"/>
        <v/>
      </c>
      <c r="B48" s="987"/>
      <c r="C48" s="987"/>
      <c r="D48" s="985" t="str">
        <f>IF(C48="","",IFERROR(VLOOKUP(C48,業者DB!A:B,2,FALSE),""))</f>
        <v/>
      </c>
      <c r="E48" s="492"/>
      <c r="F48" s="988"/>
      <c r="G48" s="989"/>
      <c r="H48" s="988"/>
      <c r="I48" s="989"/>
      <c r="J48" s="990" t="str">
        <f t="shared" si="1"/>
        <v/>
      </c>
      <c r="K48" s="986" t="str">
        <f t="shared" si="2"/>
        <v/>
      </c>
      <c r="L48" s="985" t="str">
        <f>IF(C48="","",IFERROR(VLOOKUP(C48,業者DB!A:I,9,FALSE),""))</f>
        <v/>
      </c>
      <c r="M48" s="985"/>
    </row>
    <row r="49" spans="1:13">
      <c r="A49" s="986" t="str">
        <f t="shared" si="0"/>
        <v/>
      </c>
      <c r="B49" s="987"/>
      <c r="C49" s="987"/>
      <c r="D49" s="985" t="str">
        <f>IF(C49="","",IFERROR(VLOOKUP(C49,業者DB!A:B,2,FALSE),""))</f>
        <v/>
      </c>
      <c r="E49" s="492"/>
      <c r="F49" s="988"/>
      <c r="G49" s="989"/>
      <c r="H49" s="988"/>
      <c r="I49" s="989"/>
      <c r="J49" s="990" t="str">
        <f t="shared" si="1"/>
        <v/>
      </c>
      <c r="K49" s="986" t="str">
        <f t="shared" si="2"/>
        <v/>
      </c>
      <c r="L49" s="985" t="str">
        <f>IF(C49="","",IFERROR(VLOOKUP(C49,業者DB!A:I,9,FALSE),""))</f>
        <v/>
      </c>
      <c r="M49" s="985"/>
    </row>
    <row r="50" spans="1:13">
      <c r="A50" s="986" t="str">
        <f t="shared" si="0"/>
        <v/>
      </c>
      <c r="B50" s="987"/>
      <c r="C50" s="987"/>
      <c r="D50" s="985" t="str">
        <f>IF(C50="","",IFERROR(VLOOKUP(C50,業者DB!A:B,2,FALSE),""))</f>
        <v/>
      </c>
      <c r="E50" s="492"/>
      <c r="F50" s="988"/>
      <c r="G50" s="989"/>
      <c r="H50" s="988"/>
      <c r="I50" s="989"/>
      <c r="J50" s="990" t="str">
        <f t="shared" si="1"/>
        <v/>
      </c>
      <c r="K50" s="986" t="str">
        <f t="shared" si="2"/>
        <v/>
      </c>
      <c r="L50" s="985" t="str">
        <f>IF(C50="","",IFERROR(VLOOKUP(C50,業者DB!A:I,9,FALSE),""))</f>
        <v/>
      </c>
      <c r="M50" s="985"/>
    </row>
    <row r="51" spans="1:13">
      <c r="A51" s="986" t="str">
        <f t="shared" si="0"/>
        <v/>
      </c>
      <c r="B51" s="987"/>
      <c r="C51" s="987"/>
      <c r="D51" s="985" t="str">
        <f>IF(C51="","",IFERROR(VLOOKUP(C51,業者DB!A:B,2,FALSE),""))</f>
        <v/>
      </c>
      <c r="E51" s="492"/>
      <c r="F51" s="988"/>
      <c r="G51" s="989"/>
      <c r="H51" s="988"/>
      <c r="I51" s="989"/>
      <c r="J51" s="990" t="str">
        <f t="shared" si="1"/>
        <v/>
      </c>
      <c r="K51" s="986" t="str">
        <f t="shared" si="2"/>
        <v/>
      </c>
      <c r="L51" s="985" t="str">
        <f>IF(C51="","",IFERROR(VLOOKUP(C51,業者DB!A:I,9,FALSE),""))</f>
        <v/>
      </c>
      <c r="M51" s="985"/>
    </row>
    <row r="52" spans="1:13">
      <c r="A52" s="986" t="str">
        <f t="shared" si="0"/>
        <v/>
      </c>
      <c r="B52" s="987"/>
      <c r="C52" s="987"/>
      <c r="D52" s="985" t="str">
        <f>IF(C52="","",IFERROR(VLOOKUP(C52,業者DB!A:B,2,FALSE),""))</f>
        <v/>
      </c>
      <c r="E52" s="492"/>
      <c r="F52" s="988"/>
      <c r="G52" s="989"/>
      <c r="H52" s="988"/>
      <c r="I52" s="989"/>
      <c r="J52" s="990" t="str">
        <f t="shared" si="1"/>
        <v/>
      </c>
      <c r="K52" s="986" t="str">
        <f t="shared" si="2"/>
        <v/>
      </c>
      <c r="L52" s="985" t="str">
        <f>IF(C52="","",IFERROR(VLOOKUP(C52,業者DB!A:I,9,FALSE),""))</f>
        <v/>
      </c>
      <c r="M52" s="985"/>
    </row>
    <row r="53" spans="1:13">
      <c r="A53" s="986" t="str">
        <f t="shared" si="0"/>
        <v/>
      </c>
      <c r="B53" s="987"/>
      <c r="C53" s="987"/>
      <c r="D53" s="985" t="str">
        <f>IF(C53="","",IFERROR(VLOOKUP(C53,業者DB!A:B,2,FALSE),""))</f>
        <v/>
      </c>
      <c r="E53" s="492"/>
      <c r="F53" s="988"/>
      <c r="G53" s="989"/>
      <c r="H53" s="988"/>
      <c r="I53" s="989"/>
      <c r="J53" s="990" t="str">
        <f t="shared" si="1"/>
        <v/>
      </c>
      <c r="K53" s="986" t="str">
        <f t="shared" si="2"/>
        <v/>
      </c>
      <c r="L53" s="985" t="str">
        <f>IF(C53="","",IFERROR(VLOOKUP(C53,業者DB!A:I,9,FALSE),""))</f>
        <v/>
      </c>
      <c r="M53" s="985"/>
    </row>
    <row r="54" spans="1:13">
      <c r="A54" s="986" t="str">
        <f t="shared" si="0"/>
        <v/>
      </c>
      <c r="B54" s="987"/>
      <c r="C54" s="987"/>
      <c r="D54" s="985" t="str">
        <f>IF(C54="","",IFERROR(VLOOKUP(C54,業者DB!A:B,2,FALSE),""))</f>
        <v/>
      </c>
      <c r="E54" s="492"/>
      <c r="F54" s="988"/>
      <c r="G54" s="989"/>
      <c r="H54" s="988"/>
      <c r="I54" s="989"/>
      <c r="J54" s="990" t="str">
        <f t="shared" si="1"/>
        <v/>
      </c>
      <c r="K54" s="986" t="str">
        <f t="shared" si="2"/>
        <v/>
      </c>
      <c r="L54" s="985" t="str">
        <f>IF(C54="","",IFERROR(VLOOKUP(C54,業者DB!A:I,9,FALSE),""))</f>
        <v/>
      </c>
      <c r="M54" s="985"/>
    </row>
    <row r="55" spans="1:13">
      <c r="A55" s="986" t="str">
        <f t="shared" si="0"/>
        <v/>
      </c>
      <c r="B55" s="987"/>
      <c r="C55" s="987"/>
      <c r="D55" s="985" t="str">
        <f>IF(C55="","",IFERROR(VLOOKUP(C55,業者DB!A:B,2,FALSE),""))</f>
        <v/>
      </c>
      <c r="E55" s="492"/>
      <c r="F55" s="988"/>
      <c r="G55" s="989"/>
      <c r="H55" s="988"/>
      <c r="I55" s="989"/>
      <c r="J55" s="990" t="str">
        <f t="shared" si="1"/>
        <v/>
      </c>
      <c r="K55" s="986" t="str">
        <f t="shared" si="2"/>
        <v/>
      </c>
      <c r="L55" s="985" t="str">
        <f>IF(C55="","",IFERROR(VLOOKUP(C55,業者DB!A:I,9,FALSE),""))</f>
        <v/>
      </c>
      <c r="M55" s="985"/>
    </row>
    <row r="56" spans="1:13">
      <c r="A56" s="986" t="str">
        <f t="shared" si="0"/>
        <v/>
      </c>
      <c r="B56" s="987"/>
      <c r="C56" s="987"/>
      <c r="D56" s="985" t="str">
        <f>IF(C56="","",IFERROR(VLOOKUP(C56,業者DB!A:B,2,FALSE),""))</f>
        <v/>
      </c>
      <c r="E56" s="492"/>
      <c r="F56" s="988"/>
      <c r="G56" s="989"/>
      <c r="H56" s="988"/>
      <c r="I56" s="989"/>
      <c r="J56" s="990" t="str">
        <f t="shared" si="1"/>
        <v/>
      </c>
      <c r="K56" s="986" t="str">
        <f t="shared" si="2"/>
        <v/>
      </c>
      <c r="L56" s="985" t="str">
        <f>IF(C56="","",IFERROR(VLOOKUP(C56,業者DB!A:I,9,FALSE),""))</f>
        <v/>
      </c>
      <c r="M56" s="985"/>
    </row>
    <row r="57" spans="1:13">
      <c r="A57" s="986" t="str">
        <f t="shared" si="0"/>
        <v/>
      </c>
      <c r="B57" s="987"/>
      <c r="C57" s="987"/>
      <c r="D57" s="985" t="str">
        <f>IF(C57="","",IFERROR(VLOOKUP(C57,業者DB!A:B,2,FALSE),""))</f>
        <v/>
      </c>
      <c r="E57" s="492"/>
      <c r="F57" s="988"/>
      <c r="G57" s="989"/>
      <c r="H57" s="988"/>
      <c r="I57" s="989"/>
      <c r="J57" s="990" t="str">
        <f t="shared" si="1"/>
        <v/>
      </c>
      <c r="K57" s="986" t="str">
        <f t="shared" si="2"/>
        <v/>
      </c>
      <c r="L57" s="985" t="str">
        <f>IF(C57="","",IFERROR(VLOOKUP(C57,業者DB!A:I,9,FALSE),""))</f>
        <v/>
      </c>
      <c r="M57" s="985"/>
    </row>
    <row r="58" spans="1:13">
      <c r="A58" s="986" t="str">
        <f t="shared" si="0"/>
        <v/>
      </c>
      <c r="B58" s="987"/>
      <c r="C58" s="987"/>
      <c r="D58" s="985" t="str">
        <f>IF(C58="","",IFERROR(VLOOKUP(C58,業者DB!A:B,2,FALSE),""))</f>
        <v/>
      </c>
      <c r="E58" s="492"/>
      <c r="F58" s="988"/>
      <c r="G58" s="989"/>
      <c r="H58" s="988"/>
      <c r="I58" s="989"/>
      <c r="J58" s="990" t="str">
        <f t="shared" si="1"/>
        <v/>
      </c>
      <c r="K58" s="986" t="str">
        <f t="shared" si="2"/>
        <v/>
      </c>
      <c r="L58" s="985" t="str">
        <f>IF(C58="","",IFERROR(VLOOKUP(C58,業者DB!A:I,9,FALSE),""))</f>
        <v/>
      </c>
      <c r="M58" s="985"/>
    </row>
    <row r="59" spans="1:13">
      <c r="A59" s="986" t="str">
        <f t="shared" si="0"/>
        <v/>
      </c>
      <c r="B59" s="987"/>
      <c r="C59" s="987"/>
      <c r="D59" s="985" t="str">
        <f>IF(C59="","",IFERROR(VLOOKUP(C59,業者DB!A:B,2,FALSE),""))</f>
        <v/>
      </c>
      <c r="E59" s="492"/>
      <c r="F59" s="988"/>
      <c r="G59" s="989"/>
      <c r="H59" s="988"/>
      <c r="I59" s="989"/>
      <c r="J59" s="990" t="str">
        <f t="shared" si="1"/>
        <v/>
      </c>
      <c r="K59" s="986" t="str">
        <f t="shared" si="2"/>
        <v/>
      </c>
      <c r="L59" s="985" t="str">
        <f>IF(C59="","",IFERROR(VLOOKUP(C59,業者DB!A:I,9,FALSE),""))</f>
        <v/>
      </c>
      <c r="M59" s="985"/>
    </row>
    <row r="60" spans="1:13">
      <c r="A60" s="986" t="str">
        <f t="shared" si="0"/>
        <v/>
      </c>
      <c r="B60" s="987"/>
      <c r="C60" s="987"/>
      <c r="D60" s="985" t="str">
        <f>IF(C60="","",IFERROR(VLOOKUP(C60,業者DB!A:B,2,FALSE),""))</f>
        <v/>
      </c>
      <c r="E60" s="492"/>
      <c r="F60" s="988"/>
      <c r="G60" s="989"/>
      <c r="H60" s="988"/>
      <c r="I60" s="989"/>
      <c r="J60" s="990" t="str">
        <f t="shared" si="1"/>
        <v/>
      </c>
      <c r="K60" s="986" t="str">
        <f t="shared" si="2"/>
        <v/>
      </c>
      <c r="L60" s="985" t="str">
        <f>IF(C60="","",IFERROR(VLOOKUP(C60,業者DB!A:I,9,FALSE),""))</f>
        <v/>
      </c>
      <c r="M60" s="985"/>
    </row>
    <row r="61" spans="1:13">
      <c r="A61" s="986" t="str">
        <f t="shared" si="0"/>
        <v/>
      </c>
      <c r="B61" s="987"/>
      <c r="C61" s="987"/>
      <c r="D61" s="985" t="str">
        <f>IF(C61="","",IFERROR(VLOOKUP(C61,業者DB!A:B,2,FALSE),""))</f>
        <v/>
      </c>
      <c r="E61" s="492"/>
      <c r="F61" s="988"/>
      <c r="G61" s="989"/>
      <c r="H61" s="988"/>
      <c r="I61" s="989"/>
      <c r="J61" s="990" t="str">
        <f t="shared" si="1"/>
        <v/>
      </c>
      <c r="K61" s="986" t="str">
        <f t="shared" si="2"/>
        <v/>
      </c>
      <c r="L61" s="985" t="str">
        <f>IF(C61="","",IFERROR(VLOOKUP(C61,業者DB!A:I,9,FALSE),""))</f>
        <v/>
      </c>
      <c r="M61" s="985"/>
    </row>
    <row r="62" spans="1:13">
      <c r="A62" s="986" t="str">
        <f t="shared" si="0"/>
        <v/>
      </c>
      <c r="B62" s="987"/>
      <c r="C62" s="987"/>
      <c r="D62" s="985" t="str">
        <f>IF(C62="","",IFERROR(VLOOKUP(C62,業者DB!A:B,2,FALSE),""))</f>
        <v/>
      </c>
      <c r="E62" s="492"/>
      <c r="F62" s="988"/>
      <c r="G62" s="989"/>
      <c r="H62" s="988"/>
      <c r="I62" s="989"/>
      <c r="J62" s="990" t="str">
        <f t="shared" si="1"/>
        <v/>
      </c>
      <c r="K62" s="986" t="str">
        <f t="shared" si="2"/>
        <v/>
      </c>
      <c r="L62" s="985" t="str">
        <f>IF(C62="","",IFERROR(VLOOKUP(C62,業者DB!A:I,9,FALSE),""))</f>
        <v/>
      </c>
      <c r="M62" s="985"/>
    </row>
    <row r="63" spans="1:13">
      <c r="A63" s="986" t="str">
        <f t="shared" si="0"/>
        <v/>
      </c>
      <c r="B63" s="987"/>
      <c r="C63" s="987"/>
      <c r="D63" s="985" t="str">
        <f>IF(C63="","",IFERROR(VLOOKUP(C63,業者DB!A:B,2,FALSE),""))</f>
        <v/>
      </c>
      <c r="E63" s="492"/>
      <c r="F63" s="988"/>
      <c r="G63" s="989"/>
      <c r="H63" s="988"/>
      <c r="I63" s="989"/>
      <c r="J63" s="990" t="str">
        <f t="shared" si="1"/>
        <v/>
      </c>
      <c r="K63" s="986" t="str">
        <f t="shared" si="2"/>
        <v/>
      </c>
      <c r="L63" s="985" t="str">
        <f>IF(C63="","",IFERROR(VLOOKUP(C63,業者DB!A:I,9,FALSE),""))</f>
        <v/>
      </c>
      <c r="M63" s="985"/>
    </row>
    <row r="64" spans="1:13">
      <c r="A64" s="986" t="str">
        <f t="shared" si="0"/>
        <v/>
      </c>
      <c r="B64" s="987"/>
      <c r="C64" s="987"/>
      <c r="D64" s="985" t="str">
        <f>IF(C64="","",IFERROR(VLOOKUP(C64,業者DB!A:B,2,FALSE),""))</f>
        <v/>
      </c>
      <c r="E64" s="492"/>
      <c r="F64" s="988"/>
      <c r="G64" s="989"/>
      <c r="H64" s="988"/>
      <c r="I64" s="989"/>
      <c r="J64" s="990" t="str">
        <f t="shared" si="1"/>
        <v/>
      </c>
      <c r="K64" s="986" t="str">
        <f t="shared" si="2"/>
        <v/>
      </c>
      <c r="L64" s="985" t="str">
        <f>IF(C64="","",IFERROR(VLOOKUP(C64,業者DB!A:I,9,FALSE),""))</f>
        <v/>
      </c>
      <c r="M64" s="985"/>
    </row>
    <row r="65" spans="1:13">
      <c r="A65" s="986" t="str">
        <f t="shared" si="0"/>
        <v/>
      </c>
      <c r="B65" s="987"/>
      <c r="C65" s="987"/>
      <c r="D65" s="985" t="str">
        <f>IF(C65="","",IFERROR(VLOOKUP(C65,業者DB!A:B,2,FALSE),""))</f>
        <v/>
      </c>
      <c r="E65" s="492"/>
      <c r="F65" s="988"/>
      <c r="G65" s="989"/>
      <c r="H65" s="988"/>
      <c r="I65" s="989"/>
      <c r="J65" s="990" t="str">
        <f t="shared" si="1"/>
        <v/>
      </c>
      <c r="K65" s="986" t="str">
        <f t="shared" si="2"/>
        <v/>
      </c>
      <c r="L65" s="985" t="str">
        <f>IF(C65="","",IFERROR(VLOOKUP(C65,業者DB!A:I,9,FALSE),""))</f>
        <v/>
      </c>
      <c r="M65" s="985"/>
    </row>
    <row r="66" spans="1:13">
      <c r="A66" s="986" t="str">
        <f t="shared" si="0"/>
        <v/>
      </c>
      <c r="B66" s="987"/>
      <c r="C66" s="987"/>
      <c r="D66" s="985" t="str">
        <f>IF(C66="","",IFERROR(VLOOKUP(C66,業者DB!A:B,2,FALSE),""))</f>
        <v/>
      </c>
      <c r="E66" s="492"/>
      <c r="F66" s="988"/>
      <c r="G66" s="989"/>
      <c r="H66" s="988"/>
      <c r="I66" s="989"/>
      <c r="J66" s="990" t="str">
        <f t="shared" si="1"/>
        <v/>
      </c>
      <c r="K66" s="986" t="str">
        <f t="shared" si="2"/>
        <v/>
      </c>
      <c r="L66" s="985" t="str">
        <f>IF(C66="","",IFERROR(VLOOKUP(C66,業者DB!A:I,9,FALSE),""))</f>
        <v/>
      </c>
      <c r="M66" s="985"/>
    </row>
    <row r="67" spans="1:13">
      <c r="A67" s="986" t="str">
        <f t="shared" si="0"/>
        <v/>
      </c>
      <c r="B67" s="987"/>
      <c r="C67" s="987"/>
      <c r="D67" s="985" t="str">
        <f>IF(C67="","",IFERROR(VLOOKUP(C67,業者DB!A:B,2,FALSE),""))</f>
        <v/>
      </c>
      <c r="E67" s="492"/>
      <c r="F67" s="988"/>
      <c r="G67" s="989"/>
      <c r="H67" s="988"/>
      <c r="I67" s="989"/>
      <c r="J67" s="990" t="str">
        <f t="shared" si="1"/>
        <v/>
      </c>
      <c r="K67" s="986" t="str">
        <f t="shared" si="2"/>
        <v/>
      </c>
      <c r="L67" s="985" t="str">
        <f>IF(C67="","",IFERROR(VLOOKUP(C67,業者DB!A:I,9,FALSE),""))</f>
        <v/>
      </c>
      <c r="M67" s="985"/>
    </row>
    <row r="68" spans="1:13">
      <c r="A68" s="986" t="str">
        <f t="shared" si="0"/>
        <v/>
      </c>
      <c r="B68" s="987"/>
      <c r="C68" s="987"/>
      <c r="D68" s="985" t="str">
        <f>IF(C68="","",IFERROR(VLOOKUP(C68,業者DB!A:B,2,FALSE),""))</f>
        <v/>
      </c>
      <c r="E68" s="492"/>
      <c r="F68" s="988"/>
      <c r="G68" s="989"/>
      <c r="H68" s="988"/>
      <c r="I68" s="989"/>
      <c r="J68" s="990" t="str">
        <f t="shared" si="1"/>
        <v/>
      </c>
      <c r="K68" s="986" t="str">
        <f t="shared" si="2"/>
        <v/>
      </c>
      <c r="L68" s="985" t="str">
        <f>IF(C68="","",IFERROR(VLOOKUP(C68,業者DB!A:I,9,FALSE),""))</f>
        <v/>
      </c>
      <c r="M68" s="985"/>
    </row>
    <row r="69" spans="1:13">
      <c r="A69" s="986" t="str">
        <f t="shared" si="0"/>
        <v/>
      </c>
      <c r="B69" s="987"/>
      <c r="C69" s="987"/>
      <c r="D69" s="985" t="str">
        <f>IF(C69="","",IFERROR(VLOOKUP(C69,業者DB!A:B,2,FALSE),""))</f>
        <v/>
      </c>
      <c r="E69" s="492"/>
      <c r="F69" s="988"/>
      <c r="G69" s="989"/>
      <c r="H69" s="988"/>
      <c r="I69" s="989"/>
      <c r="J69" s="990" t="str">
        <f t="shared" si="1"/>
        <v/>
      </c>
      <c r="K69" s="986" t="str">
        <f t="shared" si="2"/>
        <v/>
      </c>
      <c r="L69" s="985" t="str">
        <f>IF(C69="","",IFERROR(VLOOKUP(C69,業者DB!A:I,9,FALSE),""))</f>
        <v/>
      </c>
      <c r="M69" s="985"/>
    </row>
    <row r="70" spans="1:13">
      <c r="A70" s="986" t="str">
        <f t="shared" ref="A70:A104" si="3">IF(B70="","","PAY-"&amp;TEXT(ROW()-4,"000"))</f>
        <v/>
      </c>
      <c r="B70" s="987"/>
      <c r="C70" s="987"/>
      <c r="D70" s="985" t="str">
        <f>IF(C70="","",IFERROR(VLOOKUP(C70,業者DB!A:B,2,FALSE),""))</f>
        <v/>
      </c>
      <c r="E70" s="492"/>
      <c r="F70" s="988"/>
      <c r="G70" s="989"/>
      <c r="H70" s="988"/>
      <c r="I70" s="989"/>
      <c r="J70" s="990" t="str">
        <f t="shared" ref="J70:J104" si="4">IF(B70="","",IF(G70="","",G70-IF(I70="",0,I70)))</f>
        <v/>
      </c>
      <c r="K70" s="986" t="str">
        <f t="shared" ref="K70:K104" si="5">IF(B70="","",IF(G70="","",IF(J70&lt;=0,"✅支払済",IF(I70&lt;&gt;"","⚠一部支払",IF(F70&lt;&gt;"","❌未支払","")))))</f>
        <v/>
      </c>
      <c r="L70" s="985" t="str">
        <f>IF(C70="","",IFERROR(VLOOKUP(C70,業者DB!A:I,9,FALSE),""))</f>
        <v/>
      </c>
      <c r="M70" s="985"/>
    </row>
    <row r="71" spans="1:13">
      <c r="A71" s="986" t="str">
        <f t="shared" si="3"/>
        <v/>
      </c>
      <c r="B71" s="987"/>
      <c r="C71" s="987"/>
      <c r="D71" s="985" t="str">
        <f>IF(C71="","",IFERROR(VLOOKUP(C71,業者DB!A:B,2,FALSE),""))</f>
        <v/>
      </c>
      <c r="E71" s="492"/>
      <c r="F71" s="988"/>
      <c r="G71" s="989"/>
      <c r="H71" s="988"/>
      <c r="I71" s="989"/>
      <c r="J71" s="990" t="str">
        <f t="shared" si="4"/>
        <v/>
      </c>
      <c r="K71" s="986" t="str">
        <f t="shared" si="5"/>
        <v/>
      </c>
      <c r="L71" s="985" t="str">
        <f>IF(C71="","",IFERROR(VLOOKUP(C71,業者DB!A:I,9,FALSE),""))</f>
        <v/>
      </c>
      <c r="M71" s="985"/>
    </row>
    <row r="72" spans="1:13">
      <c r="A72" s="986" t="str">
        <f t="shared" si="3"/>
        <v/>
      </c>
      <c r="B72" s="987"/>
      <c r="C72" s="987"/>
      <c r="D72" s="985" t="str">
        <f>IF(C72="","",IFERROR(VLOOKUP(C72,業者DB!A:B,2,FALSE),""))</f>
        <v/>
      </c>
      <c r="E72" s="492"/>
      <c r="F72" s="988"/>
      <c r="G72" s="989"/>
      <c r="H72" s="988"/>
      <c r="I72" s="989"/>
      <c r="J72" s="990" t="str">
        <f t="shared" si="4"/>
        <v/>
      </c>
      <c r="K72" s="986" t="str">
        <f t="shared" si="5"/>
        <v/>
      </c>
      <c r="L72" s="985" t="str">
        <f>IF(C72="","",IFERROR(VLOOKUP(C72,業者DB!A:I,9,FALSE),""))</f>
        <v/>
      </c>
      <c r="M72" s="985"/>
    </row>
    <row r="73" spans="1:13">
      <c r="A73" s="986" t="str">
        <f t="shared" si="3"/>
        <v/>
      </c>
      <c r="B73" s="987"/>
      <c r="C73" s="987"/>
      <c r="D73" s="985" t="str">
        <f>IF(C73="","",IFERROR(VLOOKUP(C73,業者DB!A:B,2,FALSE),""))</f>
        <v/>
      </c>
      <c r="E73" s="492"/>
      <c r="F73" s="988"/>
      <c r="G73" s="989"/>
      <c r="H73" s="988"/>
      <c r="I73" s="989"/>
      <c r="J73" s="990" t="str">
        <f t="shared" si="4"/>
        <v/>
      </c>
      <c r="K73" s="986" t="str">
        <f t="shared" si="5"/>
        <v/>
      </c>
      <c r="L73" s="985" t="str">
        <f>IF(C73="","",IFERROR(VLOOKUP(C73,業者DB!A:I,9,FALSE),""))</f>
        <v/>
      </c>
      <c r="M73" s="985"/>
    </row>
    <row r="74" spans="1:13">
      <c r="A74" s="986" t="str">
        <f t="shared" si="3"/>
        <v/>
      </c>
      <c r="B74" s="987"/>
      <c r="C74" s="987"/>
      <c r="D74" s="985" t="str">
        <f>IF(C74="","",IFERROR(VLOOKUP(C74,業者DB!A:B,2,FALSE),""))</f>
        <v/>
      </c>
      <c r="E74" s="492"/>
      <c r="F74" s="988"/>
      <c r="G74" s="989"/>
      <c r="H74" s="988"/>
      <c r="I74" s="989"/>
      <c r="J74" s="990" t="str">
        <f t="shared" si="4"/>
        <v/>
      </c>
      <c r="K74" s="986" t="str">
        <f t="shared" si="5"/>
        <v/>
      </c>
      <c r="L74" s="985" t="str">
        <f>IF(C74="","",IFERROR(VLOOKUP(C74,業者DB!A:I,9,FALSE),""))</f>
        <v/>
      </c>
      <c r="M74" s="985"/>
    </row>
    <row r="75" spans="1:13">
      <c r="A75" s="986" t="str">
        <f t="shared" si="3"/>
        <v/>
      </c>
      <c r="B75" s="987"/>
      <c r="C75" s="987"/>
      <c r="D75" s="985" t="str">
        <f>IF(C75="","",IFERROR(VLOOKUP(C75,業者DB!A:B,2,FALSE),""))</f>
        <v/>
      </c>
      <c r="E75" s="492"/>
      <c r="F75" s="988"/>
      <c r="G75" s="989"/>
      <c r="H75" s="988"/>
      <c r="I75" s="989"/>
      <c r="J75" s="990" t="str">
        <f t="shared" si="4"/>
        <v/>
      </c>
      <c r="K75" s="986" t="str">
        <f t="shared" si="5"/>
        <v/>
      </c>
      <c r="L75" s="985" t="str">
        <f>IF(C75="","",IFERROR(VLOOKUP(C75,業者DB!A:I,9,FALSE),""))</f>
        <v/>
      </c>
      <c r="M75" s="985"/>
    </row>
    <row r="76" spans="1:13">
      <c r="A76" s="986" t="str">
        <f t="shared" si="3"/>
        <v/>
      </c>
      <c r="B76" s="987"/>
      <c r="C76" s="987"/>
      <c r="D76" s="985" t="str">
        <f>IF(C76="","",IFERROR(VLOOKUP(C76,業者DB!A:B,2,FALSE),""))</f>
        <v/>
      </c>
      <c r="E76" s="492"/>
      <c r="F76" s="988"/>
      <c r="G76" s="989"/>
      <c r="H76" s="988"/>
      <c r="I76" s="989"/>
      <c r="J76" s="990" t="str">
        <f t="shared" si="4"/>
        <v/>
      </c>
      <c r="K76" s="986" t="str">
        <f t="shared" si="5"/>
        <v/>
      </c>
      <c r="L76" s="985" t="str">
        <f>IF(C76="","",IFERROR(VLOOKUP(C76,業者DB!A:I,9,FALSE),""))</f>
        <v/>
      </c>
      <c r="M76" s="985"/>
    </row>
    <row r="77" spans="1:13">
      <c r="A77" s="986" t="str">
        <f t="shared" si="3"/>
        <v/>
      </c>
      <c r="B77" s="987"/>
      <c r="C77" s="987"/>
      <c r="D77" s="985" t="str">
        <f>IF(C77="","",IFERROR(VLOOKUP(C77,業者DB!A:B,2,FALSE),""))</f>
        <v/>
      </c>
      <c r="E77" s="492"/>
      <c r="F77" s="988"/>
      <c r="G77" s="989"/>
      <c r="H77" s="988"/>
      <c r="I77" s="989"/>
      <c r="J77" s="990" t="str">
        <f t="shared" si="4"/>
        <v/>
      </c>
      <c r="K77" s="986" t="str">
        <f t="shared" si="5"/>
        <v/>
      </c>
      <c r="L77" s="985" t="str">
        <f>IF(C77="","",IFERROR(VLOOKUP(C77,業者DB!A:I,9,FALSE),""))</f>
        <v/>
      </c>
      <c r="M77" s="985"/>
    </row>
    <row r="78" spans="1:13">
      <c r="A78" s="986" t="str">
        <f t="shared" si="3"/>
        <v/>
      </c>
      <c r="B78" s="987"/>
      <c r="C78" s="987"/>
      <c r="D78" s="985" t="str">
        <f>IF(C78="","",IFERROR(VLOOKUP(C78,業者DB!A:B,2,FALSE),""))</f>
        <v/>
      </c>
      <c r="E78" s="492"/>
      <c r="F78" s="988"/>
      <c r="G78" s="989"/>
      <c r="H78" s="988"/>
      <c r="I78" s="989"/>
      <c r="J78" s="990" t="str">
        <f t="shared" si="4"/>
        <v/>
      </c>
      <c r="K78" s="986" t="str">
        <f t="shared" si="5"/>
        <v/>
      </c>
      <c r="L78" s="985" t="str">
        <f>IF(C78="","",IFERROR(VLOOKUP(C78,業者DB!A:I,9,FALSE),""))</f>
        <v/>
      </c>
      <c r="M78" s="985"/>
    </row>
    <row r="79" spans="1:13">
      <c r="A79" s="986" t="str">
        <f t="shared" si="3"/>
        <v/>
      </c>
      <c r="B79" s="987"/>
      <c r="C79" s="987"/>
      <c r="D79" s="985" t="str">
        <f>IF(C79="","",IFERROR(VLOOKUP(C79,業者DB!A:B,2,FALSE),""))</f>
        <v/>
      </c>
      <c r="E79" s="492"/>
      <c r="F79" s="988"/>
      <c r="G79" s="989"/>
      <c r="H79" s="988"/>
      <c r="I79" s="989"/>
      <c r="J79" s="990" t="str">
        <f t="shared" si="4"/>
        <v/>
      </c>
      <c r="K79" s="986" t="str">
        <f t="shared" si="5"/>
        <v/>
      </c>
      <c r="L79" s="985" t="str">
        <f>IF(C79="","",IFERROR(VLOOKUP(C79,業者DB!A:I,9,FALSE),""))</f>
        <v/>
      </c>
      <c r="M79" s="985"/>
    </row>
    <row r="80" spans="1:13">
      <c r="A80" s="986" t="str">
        <f t="shared" si="3"/>
        <v/>
      </c>
      <c r="B80" s="987"/>
      <c r="C80" s="987"/>
      <c r="D80" s="985" t="str">
        <f>IF(C80="","",IFERROR(VLOOKUP(C80,業者DB!A:B,2,FALSE),""))</f>
        <v/>
      </c>
      <c r="E80" s="492"/>
      <c r="F80" s="988"/>
      <c r="G80" s="989"/>
      <c r="H80" s="988"/>
      <c r="I80" s="989"/>
      <c r="J80" s="990" t="str">
        <f t="shared" si="4"/>
        <v/>
      </c>
      <c r="K80" s="986" t="str">
        <f t="shared" si="5"/>
        <v/>
      </c>
      <c r="L80" s="985" t="str">
        <f>IF(C80="","",IFERROR(VLOOKUP(C80,業者DB!A:I,9,FALSE),""))</f>
        <v/>
      </c>
      <c r="M80" s="985"/>
    </row>
    <row r="81" spans="1:13">
      <c r="A81" s="986" t="str">
        <f t="shared" si="3"/>
        <v/>
      </c>
      <c r="B81" s="987"/>
      <c r="C81" s="987"/>
      <c r="D81" s="985" t="str">
        <f>IF(C81="","",IFERROR(VLOOKUP(C81,業者DB!A:B,2,FALSE),""))</f>
        <v/>
      </c>
      <c r="E81" s="492"/>
      <c r="F81" s="988"/>
      <c r="G81" s="989"/>
      <c r="H81" s="988"/>
      <c r="I81" s="989"/>
      <c r="J81" s="990" t="str">
        <f t="shared" si="4"/>
        <v/>
      </c>
      <c r="K81" s="986" t="str">
        <f t="shared" si="5"/>
        <v/>
      </c>
      <c r="L81" s="985" t="str">
        <f>IF(C81="","",IFERROR(VLOOKUP(C81,業者DB!A:I,9,FALSE),""))</f>
        <v/>
      </c>
      <c r="M81" s="985"/>
    </row>
    <row r="82" spans="1:13">
      <c r="A82" s="986" t="str">
        <f t="shared" si="3"/>
        <v/>
      </c>
      <c r="B82" s="987"/>
      <c r="C82" s="987"/>
      <c r="D82" s="985" t="str">
        <f>IF(C82="","",IFERROR(VLOOKUP(C82,業者DB!A:B,2,FALSE),""))</f>
        <v/>
      </c>
      <c r="E82" s="492"/>
      <c r="F82" s="988"/>
      <c r="G82" s="989"/>
      <c r="H82" s="988"/>
      <c r="I82" s="989"/>
      <c r="J82" s="990" t="str">
        <f t="shared" si="4"/>
        <v/>
      </c>
      <c r="K82" s="986" t="str">
        <f t="shared" si="5"/>
        <v/>
      </c>
      <c r="L82" s="985" t="str">
        <f>IF(C82="","",IFERROR(VLOOKUP(C82,業者DB!A:I,9,FALSE),""))</f>
        <v/>
      </c>
      <c r="M82" s="985"/>
    </row>
    <row r="83" spans="1:13">
      <c r="A83" s="986" t="str">
        <f t="shared" si="3"/>
        <v/>
      </c>
      <c r="B83" s="987"/>
      <c r="C83" s="987"/>
      <c r="D83" s="985" t="str">
        <f>IF(C83="","",IFERROR(VLOOKUP(C83,業者DB!A:B,2,FALSE),""))</f>
        <v/>
      </c>
      <c r="E83" s="492"/>
      <c r="F83" s="988"/>
      <c r="G83" s="989"/>
      <c r="H83" s="988"/>
      <c r="I83" s="989"/>
      <c r="J83" s="990" t="str">
        <f t="shared" si="4"/>
        <v/>
      </c>
      <c r="K83" s="986" t="str">
        <f t="shared" si="5"/>
        <v/>
      </c>
      <c r="L83" s="985" t="str">
        <f>IF(C83="","",IFERROR(VLOOKUP(C83,業者DB!A:I,9,FALSE),""))</f>
        <v/>
      </c>
      <c r="M83" s="985"/>
    </row>
    <row r="84" spans="1:13">
      <c r="A84" s="986" t="str">
        <f t="shared" si="3"/>
        <v/>
      </c>
      <c r="B84" s="987"/>
      <c r="C84" s="987"/>
      <c r="D84" s="985" t="str">
        <f>IF(C84="","",IFERROR(VLOOKUP(C84,業者DB!A:B,2,FALSE),""))</f>
        <v/>
      </c>
      <c r="E84" s="492"/>
      <c r="F84" s="988"/>
      <c r="G84" s="989"/>
      <c r="H84" s="988"/>
      <c r="I84" s="989"/>
      <c r="J84" s="990" t="str">
        <f t="shared" si="4"/>
        <v/>
      </c>
      <c r="K84" s="986" t="str">
        <f t="shared" si="5"/>
        <v/>
      </c>
      <c r="L84" s="985" t="str">
        <f>IF(C84="","",IFERROR(VLOOKUP(C84,業者DB!A:I,9,FALSE),""))</f>
        <v/>
      </c>
      <c r="M84" s="985"/>
    </row>
    <row r="85" spans="1:13">
      <c r="A85" s="986" t="str">
        <f t="shared" si="3"/>
        <v/>
      </c>
      <c r="B85" s="987"/>
      <c r="C85" s="987"/>
      <c r="D85" s="985" t="str">
        <f>IF(C85="","",IFERROR(VLOOKUP(C85,業者DB!A:B,2,FALSE),""))</f>
        <v/>
      </c>
      <c r="E85" s="492"/>
      <c r="F85" s="988"/>
      <c r="G85" s="989"/>
      <c r="H85" s="988"/>
      <c r="I85" s="989"/>
      <c r="J85" s="990" t="str">
        <f t="shared" si="4"/>
        <v/>
      </c>
      <c r="K85" s="986" t="str">
        <f t="shared" si="5"/>
        <v/>
      </c>
      <c r="L85" s="985" t="str">
        <f>IF(C85="","",IFERROR(VLOOKUP(C85,業者DB!A:I,9,FALSE),""))</f>
        <v/>
      </c>
      <c r="M85" s="985"/>
    </row>
    <row r="86" spans="1:13">
      <c r="A86" s="986" t="str">
        <f t="shared" si="3"/>
        <v/>
      </c>
      <c r="B86" s="987"/>
      <c r="C86" s="987"/>
      <c r="D86" s="985" t="str">
        <f>IF(C86="","",IFERROR(VLOOKUP(C86,業者DB!A:B,2,FALSE),""))</f>
        <v/>
      </c>
      <c r="E86" s="492"/>
      <c r="F86" s="988"/>
      <c r="G86" s="989"/>
      <c r="H86" s="988"/>
      <c r="I86" s="989"/>
      <c r="J86" s="990" t="str">
        <f t="shared" si="4"/>
        <v/>
      </c>
      <c r="K86" s="986" t="str">
        <f t="shared" si="5"/>
        <v/>
      </c>
      <c r="L86" s="985" t="str">
        <f>IF(C86="","",IFERROR(VLOOKUP(C86,業者DB!A:I,9,FALSE),""))</f>
        <v/>
      </c>
      <c r="M86" s="985"/>
    </row>
    <row r="87" spans="1:13">
      <c r="A87" s="986" t="str">
        <f t="shared" si="3"/>
        <v/>
      </c>
      <c r="B87" s="987"/>
      <c r="C87" s="987"/>
      <c r="D87" s="985" t="str">
        <f>IF(C87="","",IFERROR(VLOOKUP(C87,業者DB!A:B,2,FALSE),""))</f>
        <v/>
      </c>
      <c r="E87" s="492"/>
      <c r="F87" s="988"/>
      <c r="G87" s="989"/>
      <c r="H87" s="988"/>
      <c r="I87" s="989"/>
      <c r="J87" s="990" t="str">
        <f t="shared" si="4"/>
        <v/>
      </c>
      <c r="K87" s="986" t="str">
        <f t="shared" si="5"/>
        <v/>
      </c>
      <c r="L87" s="985" t="str">
        <f>IF(C87="","",IFERROR(VLOOKUP(C87,業者DB!A:I,9,FALSE),""))</f>
        <v/>
      </c>
      <c r="M87" s="985"/>
    </row>
    <row r="88" spans="1:13">
      <c r="A88" s="986" t="str">
        <f t="shared" si="3"/>
        <v/>
      </c>
      <c r="B88" s="987"/>
      <c r="C88" s="987"/>
      <c r="D88" s="985" t="str">
        <f>IF(C88="","",IFERROR(VLOOKUP(C88,業者DB!A:B,2,FALSE),""))</f>
        <v/>
      </c>
      <c r="E88" s="492"/>
      <c r="F88" s="988"/>
      <c r="G88" s="989"/>
      <c r="H88" s="988"/>
      <c r="I88" s="989"/>
      <c r="J88" s="990" t="str">
        <f t="shared" si="4"/>
        <v/>
      </c>
      <c r="K88" s="986" t="str">
        <f t="shared" si="5"/>
        <v/>
      </c>
      <c r="L88" s="985" t="str">
        <f>IF(C88="","",IFERROR(VLOOKUP(C88,業者DB!A:I,9,FALSE),""))</f>
        <v/>
      </c>
      <c r="M88" s="985"/>
    </row>
    <row r="89" spans="1:13">
      <c r="A89" s="986" t="str">
        <f t="shared" si="3"/>
        <v/>
      </c>
      <c r="B89" s="987"/>
      <c r="C89" s="987"/>
      <c r="D89" s="985" t="str">
        <f>IF(C89="","",IFERROR(VLOOKUP(C89,業者DB!A:B,2,FALSE),""))</f>
        <v/>
      </c>
      <c r="E89" s="492"/>
      <c r="F89" s="988"/>
      <c r="G89" s="989"/>
      <c r="H89" s="988"/>
      <c r="I89" s="989"/>
      <c r="J89" s="990" t="str">
        <f t="shared" si="4"/>
        <v/>
      </c>
      <c r="K89" s="986" t="str">
        <f t="shared" si="5"/>
        <v/>
      </c>
      <c r="L89" s="985" t="str">
        <f>IF(C89="","",IFERROR(VLOOKUP(C89,業者DB!A:I,9,FALSE),""))</f>
        <v/>
      </c>
      <c r="M89" s="985"/>
    </row>
    <row r="90" spans="1:13">
      <c r="A90" s="986" t="str">
        <f t="shared" si="3"/>
        <v/>
      </c>
      <c r="B90" s="987"/>
      <c r="C90" s="987"/>
      <c r="D90" s="985" t="str">
        <f>IF(C90="","",IFERROR(VLOOKUP(C90,業者DB!A:B,2,FALSE),""))</f>
        <v/>
      </c>
      <c r="E90" s="492"/>
      <c r="F90" s="988"/>
      <c r="G90" s="989"/>
      <c r="H90" s="988"/>
      <c r="I90" s="989"/>
      <c r="J90" s="990" t="str">
        <f t="shared" si="4"/>
        <v/>
      </c>
      <c r="K90" s="986" t="str">
        <f t="shared" si="5"/>
        <v/>
      </c>
      <c r="L90" s="985" t="str">
        <f>IF(C90="","",IFERROR(VLOOKUP(C90,業者DB!A:I,9,FALSE),""))</f>
        <v/>
      </c>
      <c r="M90" s="985"/>
    </row>
    <row r="91" spans="1:13">
      <c r="A91" s="986" t="str">
        <f t="shared" si="3"/>
        <v/>
      </c>
      <c r="B91" s="987"/>
      <c r="C91" s="987"/>
      <c r="D91" s="985" t="str">
        <f>IF(C91="","",IFERROR(VLOOKUP(C91,業者DB!A:B,2,FALSE),""))</f>
        <v/>
      </c>
      <c r="E91" s="492"/>
      <c r="F91" s="988"/>
      <c r="G91" s="989"/>
      <c r="H91" s="988"/>
      <c r="I91" s="989"/>
      <c r="J91" s="990" t="str">
        <f t="shared" si="4"/>
        <v/>
      </c>
      <c r="K91" s="986" t="str">
        <f t="shared" si="5"/>
        <v/>
      </c>
      <c r="L91" s="985" t="str">
        <f>IF(C91="","",IFERROR(VLOOKUP(C91,業者DB!A:I,9,FALSE),""))</f>
        <v/>
      </c>
      <c r="M91" s="985"/>
    </row>
    <row r="92" spans="1:13">
      <c r="A92" s="986" t="str">
        <f t="shared" si="3"/>
        <v/>
      </c>
      <c r="B92" s="987"/>
      <c r="C92" s="987"/>
      <c r="D92" s="985" t="str">
        <f>IF(C92="","",IFERROR(VLOOKUP(C92,業者DB!A:B,2,FALSE),""))</f>
        <v/>
      </c>
      <c r="E92" s="492"/>
      <c r="F92" s="988"/>
      <c r="G92" s="989"/>
      <c r="H92" s="988"/>
      <c r="I92" s="989"/>
      <c r="J92" s="990" t="str">
        <f t="shared" si="4"/>
        <v/>
      </c>
      <c r="K92" s="986" t="str">
        <f t="shared" si="5"/>
        <v/>
      </c>
      <c r="L92" s="985" t="str">
        <f>IF(C92="","",IFERROR(VLOOKUP(C92,業者DB!A:I,9,FALSE),""))</f>
        <v/>
      </c>
      <c r="M92" s="985"/>
    </row>
    <row r="93" spans="1:13">
      <c r="A93" s="986" t="str">
        <f t="shared" si="3"/>
        <v/>
      </c>
      <c r="B93" s="987"/>
      <c r="C93" s="987"/>
      <c r="D93" s="985" t="str">
        <f>IF(C93="","",IFERROR(VLOOKUP(C93,業者DB!A:B,2,FALSE),""))</f>
        <v/>
      </c>
      <c r="E93" s="492"/>
      <c r="F93" s="988"/>
      <c r="G93" s="989"/>
      <c r="H93" s="988"/>
      <c r="I93" s="989"/>
      <c r="J93" s="990" t="str">
        <f t="shared" si="4"/>
        <v/>
      </c>
      <c r="K93" s="986" t="str">
        <f t="shared" si="5"/>
        <v/>
      </c>
      <c r="L93" s="985" t="str">
        <f>IF(C93="","",IFERROR(VLOOKUP(C93,業者DB!A:I,9,FALSE),""))</f>
        <v/>
      </c>
      <c r="M93" s="985"/>
    </row>
    <row r="94" spans="1:13">
      <c r="A94" s="986" t="str">
        <f t="shared" si="3"/>
        <v/>
      </c>
      <c r="B94" s="987"/>
      <c r="C94" s="987"/>
      <c r="D94" s="985" t="str">
        <f>IF(C94="","",IFERROR(VLOOKUP(C94,業者DB!A:B,2,FALSE),""))</f>
        <v/>
      </c>
      <c r="E94" s="492"/>
      <c r="F94" s="988"/>
      <c r="G94" s="989"/>
      <c r="H94" s="988"/>
      <c r="I94" s="989"/>
      <c r="J94" s="990" t="str">
        <f t="shared" si="4"/>
        <v/>
      </c>
      <c r="K94" s="986" t="str">
        <f t="shared" si="5"/>
        <v/>
      </c>
      <c r="L94" s="985" t="str">
        <f>IF(C94="","",IFERROR(VLOOKUP(C94,業者DB!A:I,9,FALSE),""))</f>
        <v/>
      </c>
      <c r="M94" s="985"/>
    </row>
    <row r="95" spans="1:13">
      <c r="A95" s="986" t="str">
        <f t="shared" si="3"/>
        <v/>
      </c>
      <c r="B95" s="987"/>
      <c r="C95" s="987"/>
      <c r="D95" s="985" t="str">
        <f>IF(C95="","",IFERROR(VLOOKUP(C95,業者DB!A:B,2,FALSE),""))</f>
        <v/>
      </c>
      <c r="E95" s="492"/>
      <c r="F95" s="988"/>
      <c r="G95" s="989"/>
      <c r="H95" s="988"/>
      <c r="I95" s="989"/>
      <c r="J95" s="990" t="str">
        <f t="shared" si="4"/>
        <v/>
      </c>
      <c r="K95" s="986" t="str">
        <f t="shared" si="5"/>
        <v/>
      </c>
      <c r="L95" s="985" t="str">
        <f>IF(C95="","",IFERROR(VLOOKUP(C95,業者DB!A:I,9,FALSE),""))</f>
        <v/>
      </c>
      <c r="M95" s="985"/>
    </row>
    <row r="96" spans="1:13">
      <c r="A96" s="986" t="str">
        <f t="shared" si="3"/>
        <v/>
      </c>
      <c r="B96" s="987"/>
      <c r="C96" s="987"/>
      <c r="D96" s="985" t="str">
        <f>IF(C96="","",IFERROR(VLOOKUP(C96,業者DB!A:B,2,FALSE),""))</f>
        <v/>
      </c>
      <c r="E96" s="492"/>
      <c r="F96" s="988"/>
      <c r="G96" s="989"/>
      <c r="H96" s="988"/>
      <c r="I96" s="989"/>
      <c r="J96" s="990" t="str">
        <f t="shared" si="4"/>
        <v/>
      </c>
      <c r="K96" s="986" t="str">
        <f t="shared" si="5"/>
        <v/>
      </c>
      <c r="L96" s="985" t="str">
        <f>IF(C96="","",IFERROR(VLOOKUP(C96,業者DB!A:I,9,FALSE),""))</f>
        <v/>
      </c>
      <c r="M96" s="985"/>
    </row>
    <row r="97" spans="1:13">
      <c r="A97" s="986" t="str">
        <f t="shared" si="3"/>
        <v/>
      </c>
      <c r="B97" s="987"/>
      <c r="C97" s="987"/>
      <c r="D97" s="985" t="str">
        <f>IF(C97="","",IFERROR(VLOOKUP(C97,業者DB!A:B,2,FALSE),""))</f>
        <v/>
      </c>
      <c r="E97" s="492"/>
      <c r="F97" s="988"/>
      <c r="G97" s="989"/>
      <c r="H97" s="988"/>
      <c r="I97" s="989"/>
      <c r="J97" s="990" t="str">
        <f t="shared" si="4"/>
        <v/>
      </c>
      <c r="K97" s="986" t="str">
        <f t="shared" si="5"/>
        <v/>
      </c>
      <c r="L97" s="985" t="str">
        <f>IF(C97="","",IFERROR(VLOOKUP(C97,業者DB!A:I,9,FALSE),""))</f>
        <v/>
      </c>
      <c r="M97" s="985"/>
    </row>
    <row r="98" spans="1:13">
      <c r="A98" s="986" t="str">
        <f t="shared" si="3"/>
        <v/>
      </c>
      <c r="B98" s="987"/>
      <c r="C98" s="987"/>
      <c r="D98" s="985" t="str">
        <f>IF(C98="","",IFERROR(VLOOKUP(C98,業者DB!A:B,2,FALSE),""))</f>
        <v/>
      </c>
      <c r="E98" s="492"/>
      <c r="F98" s="988"/>
      <c r="G98" s="989"/>
      <c r="H98" s="988"/>
      <c r="I98" s="989"/>
      <c r="J98" s="990" t="str">
        <f t="shared" si="4"/>
        <v/>
      </c>
      <c r="K98" s="986" t="str">
        <f t="shared" si="5"/>
        <v/>
      </c>
      <c r="L98" s="985" t="str">
        <f>IF(C98="","",IFERROR(VLOOKUP(C98,業者DB!A:I,9,FALSE),""))</f>
        <v/>
      </c>
      <c r="M98" s="985"/>
    </row>
    <row r="99" spans="1:13">
      <c r="A99" s="986" t="str">
        <f t="shared" si="3"/>
        <v/>
      </c>
      <c r="B99" s="987"/>
      <c r="C99" s="987"/>
      <c r="D99" s="985" t="str">
        <f>IF(C99="","",IFERROR(VLOOKUP(C99,業者DB!A:B,2,FALSE),""))</f>
        <v/>
      </c>
      <c r="E99" s="492"/>
      <c r="F99" s="988"/>
      <c r="G99" s="989"/>
      <c r="H99" s="988"/>
      <c r="I99" s="989"/>
      <c r="J99" s="990" t="str">
        <f t="shared" si="4"/>
        <v/>
      </c>
      <c r="K99" s="986" t="str">
        <f t="shared" si="5"/>
        <v/>
      </c>
      <c r="L99" s="985" t="str">
        <f>IF(C99="","",IFERROR(VLOOKUP(C99,業者DB!A:I,9,FALSE),""))</f>
        <v/>
      </c>
      <c r="M99" s="985"/>
    </row>
    <row r="100" spans="1:13">
      <c r="A100" s="986" t="str">
        <f t="shared" si="3"/>
        <v/>
      </c>
      <c r="B100" s="987"/>
      <c r="C100" s="987"/>
      <c r="D100" s="985" t="str">
        <f>IF(C100="","",IFERROR(VLOOKUP(C100,業者DB!A:B,2,FALSE),""))</f>
        <v/>
      </c>
      <c r="E100" s="492"/>
      <c r="F100" s="988"/>
      <c r="G100" s="989"/>
      <c r="H100" s="988"/>
      <c r="I100" s="989"/>
      <c r="J100" s="990" t="str">
        <f t="shared" si="4"/>
        <v/>
      </c>
      <c r="K100" s="986" t="str">
        <f t="shared" si="5"/>
        <v/>
      </c>
      <c r="L100" s="985" t="str">
        <f>IF(C100="","",IFERROR(VLOOKUP(C100,業者DB!A:I,9,FALSE),""))</f>
        <v/>
      </c>
      <c r="M100" s="985"/>
    </row>
    <row r="101" spans="1:13">
      <c r="A101" s="986" t="str">
        <f t="shared" si="3"/>
        <v/>
      </c>
      <c r="B101" s="987"/>
      <c r="C101" s="987"/>
      <c r="D101" s="985" t="str">
        <f>IF(C101="","",IFERROR(VLOOKUP(C101,業者DB!A:B,2,FALSE),""))</f>
        <v/>
      </c>
      <c r="E101" s="492"/>
      <c r="F101" s="988"/>
      <c r="G101" s="989"/>
      <c r="H101" s="988"/>
      <c r="I101" s="989"/>
      <c r="J101" s="990" t="str">
        <f t="shared" si="4"/>
        <v/>
      </c>
      <c r="K101" s="986" t="str">
        <f t="shared" si="5"/>
        <v/>
      </c>
      <c r="L101" s="985" t="str">
        <f>IF(C101="","",IFERROR(VLOOKUP(C101,業者DB!A:I,9,FALSE),""))</f>
        <v/>
      </c>
      <c r="M101" s="985"/>
    </row>
    <row r="102" spans="1:13">
      <c r="A102" s="986" t="str">
        <f t="shared" si="3"/>
        <v/>
      </c>
      <c r="B102" s="987"/>
      <c r="C102" s="987"/>
      <c r="D102" s="985" t="str">
        <f>IF(C102="","",IFERROR(VLOOKUP(C102,業者DB!A:B,2,FALSE),""))</f>
        <v/>
      </c>
      <c r="E102" s="492"/>
      <c r="F102" s="988"/>
      <c r="G102" s="989"/>
      <c r="H102" s="988"/>
      <c r="I102" s="989"/>
      <c r="J102" s="990" t="str">
        <f t="shared" si="4"/>
        <v/>
      </c>
      <c r="K102" s="986" t="str">
        <f t="shared" si="5"/>
        <v/>
      </c>
      <c r="L102" s="985" t="str">
        <f>IF(C102="","",IFERROR(VLOOKUP(C102,業者DB!A:I,9,FALSE),""))</f>
        <v/>
      </c>
      <c r="M102" s="985"/>
    </row>
    <row r="103" spans="1:13">
      <c r="A103" s="986" t="str">
        <f t="shared" si="3"/>
        <v/>
      </c>
      <c r="B103" s="987"/>
      <c r="C103" s="987"/>
      <c r="D103" s="985" t="str">
        <f>IF(C103="","",IFERROR(VLOOKUP(C103,業者DB!A:B,2,FALSE),""))</f>
        <v/>
      </c>
      <c r="E103" s="492"/>
      <c r="F103" s="988"/>
      <c r="G103" s="989"/>
      <c r="H103" s="988"/>
      <c r="I103" s="989"/>
      <c r="J103" s="990" t="str">
        <f t="shared" si="4"/>
        <v/>
      </c>
      <c r="K103" s="986" t="str">
        <f t="shared" si="5"/>
        <v/>
      </c>
      <c r="L103" s="985" t="str">
        <f>IF(C103="","",IFERROR(VLOOKUP(C103,業者DB!A:I,9,FALSE),""))</f>
        <v/>
      </c>
      <c r="M103" s="985"/>
    </row>
    <row r="104" spans="1:13">
      <c r="A104" s="986" t="str">
        <f t="shared" si="3"/>
        <v/>
      </c>
      <c r="B104" s="987"/>
      <c r="C104" s="987"/>
      <c r="D104" s="985" t="str">
        <f>IF(C104="","",IFERROR(VLOOKUP(C104,業者DB!A:B,2,FALSE),""))</f>
        <v/>
      </c>
      <c r="E104" s="492"/>
      <c r="F104" s="988"/>
      <c r="G104" s="989"/>
      <c r="H104" s="988"/>
      <c r="I104" s="989"/>
      <c r="J104" s="990" t="str">
        <f t="shared" si="4"/>
        <v/>
      </c>
      <c r="K104" s="986" t="str">
        <f t="shared" si="5"/>
        <v/>
      </c>
      <c r="L104" s="985" t="str">
        <f>IF(C104="","",IFERROR(VLOOKUP(C104,業者DB!A:I,9,FALSE),""))</f>
        <v/>
      </c>
      <c r="M104" s="985"/>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1016" t="s">
        <v>1911</v>
      </c>
      <c r="I1" s="656" t="s">
        <v>1912</v>
      </c>
    </row>
    <row r="2" spans="1:11">
      <c r="I2" s="1017" t="s">
        <v>1568</v>
      </c>
      <c r="J2" s="637"/>
      <c r="K2" s="1018" t="s">
        <v>1913</v>
      </c>
    </row>
    <row r="3" spans="1:11">
      <c r="G3" s="1020" t="s">
        <v>321</v>
      </c>
      <c r="H3" s="861" t="str">
        <f>IF(J2="","","R-"&amp;MID(J2,5,3))</f>
        <v/>
      </c>
      <c r="I3" s="1019" t="s">
        <v>579</v>
      </c>
      <c r="J3" t="str">
        <f>IF(J2="","",IFERROR(VLOOKUP(J2,請求管理!A:B,2,FALSE),""))</f>
        <v/>
      </c>
    </row>
    <row r="4" spans="1:11">
      <c r="I4" s="1019" t="s">
        <v>338</v>
      </c>
      <c r="J4" t="str">
        <f>IF(J2="","",IFERROR(VLOOKUP(J2,請求管理!A:C,3,FALSE),""))</f>
        <v/>
      </c>
    </row>
    <row r="5" spans="1:11" ht="24">
      <c r="B5" s="1023" t="s">
        <v>1914</v>
      </c>
      <c r="C5" s="1023"/>
      <c r="D5" s="1023"/>
      <c r="E5" s="1023"/>
      <c r="F5" s="1023"/>
      <c r="G5" s="1023"/>
      <c r="I5" s="1019" t="s">
        <v>339</v>
      </c>
      <c r="J5" t="str">
        <f>IF(J2="","",IFERROR(VLOOKUP(J2,請求管理!A:D,4,FALSE),""))</f>
        <v/>
      </c>
    </row>
    <row r="7" spans="1:11" ht="18" thickBot="1">
      <c r="B7" s="1028" t="str">
        <f>IF(J5="","",J5)</f>
        <v/>
      </c>
      <c r="C7" s="1028"/>
      <c r="D7" s="1028"/>
      <c r="E7" s="490" t="s">
        <v>405</v>
      </c>
    </row>
    <row r="8" spans="1:11">
      <c r="G8" s="1020" t="s">
        <v>1915</v>
      </c>
      <c r="H8" s="1021" t="str">
        <f ca="1">IF(J2="","",TODAY())</f>
        <v/>
      </c>
    </row>
    <row r="9" spans="1:11" ht="15" thickBot="1"/>
    <row r="10" spans="1:11" ht="20" thickBot="1">
      <c r="B10" s="1026" t="s">
        <v>150</v>
      </c>
      <c r="C10" s="1024"/>
      <c r="D10" s="1025" t="str">
        <f>IF(J2="","",IFERROR(VLOOKUP(J2,請求管理!A:I,9,FALSE),0))</f>
        <v/>
      </c>
      <c r="E10" s="1025"/>
      <c r="F10" s="1025"/>
      <c r="G10" s="1027"/>
      <c r="H10" s="860"/>
    </row>
    <row r="11" spans="1:11" ht="15" thickTop="1"/>
    <row r="12" spans="1:11">
      <c r="B12" s="328" t="s">
        <v>1916</v>
      </c>
      <c r="D12" s="679" t="str">
        <f>IF(J2="","",IFERROR(VLOOKUP(J2,請求管理!A:C,3,FALSE),""))</f>
        <v/>
      </c>
      <c r="E12" s="679"/>
      <c r="F12" s="861" t="s">
        <v>1917</v>
      </c>
    </row>
    <row r="14" spans="1:11">
      <c r="B14" s="679" t="s">
        <v>1918</v>
      </c>
      <c r="C14" s="679"/>
      <c r="D14" s="679"/>
      <c r="E14" s="679"/>
      <c r="F14" s="679"/>
    </row>
    <row r="16" spans="1:11">
      <c r="B16" s="1029" t="s">
        <v>1919</v>
      </c>
      <c r="C16" s="1030"/>
      <c r="D16" s="1030"/>
    </row>
    <row r="17" spans="1:7">
      <c r="A17" s="309"/>
      <c r="B17" s="1031" t="s">
        <v>1577</v>
      </c>
      <c r="C17" s="1030"/>
      <c r="D17" s="1031" t="str">
        <f>IF(J2="","",IFERROR(VLOOKUP(J2,請求管理!A:E,5,FALSE),""))</f>
        <v/>
      </c>
    </row>
    <row r="18" spans="1:7">
      <c r="A18" s="309"/>
      <c r="B18" s="1031" t="s">
        <v>991</v>
      </c>
      <c r="C18" s="1030"/>
      <c r="D18" s="1032" t="str">
        <f>IF(J2="","",IFERROR(VLOOKUP(J2,請求管理!A:F,6,FALSE),""))</f>
        <v/>
      </c>
    </row>
    <row r="19" spans="1:7">
      <c r="A19" s="309"/>
      <c r="B19" s="1031" t="s">
        <v>1584</v>
      </c>
      <c r="C19" s="1030"/>
      <c r="D19" s="1033" t="str">
        <f>IF(J2="","",IFERROR(VLOOKUP(J2,請求管理!A:G,7,FALSE),0))</f>
        <v/>
      </c>
    </row>
    <row r="20" spans="1:7">
      <c r="A20" s="309"/>
      <c r="B20" s="1031" t="s">
        <v>994</v>
      </c>
      <c r="C20" s="1030"/>
      <c r="D20" s="1032" t="str">
        <f>IF(J2="","",IFERROR(VLOOKUP(J2,請求管理!A:H,8,FALSE),""))</f>
        <v/>
      </c>
    </row>
    <row r="21" spans="1:7">
      <c r="A21" s="309"/>
      <c r="B21" s="1031" t="s">
        <v>995</v>
      </c>
      <c r="C21" s="1030"/>
      <c r="D21" s="1033" t="str">
        <f>IF(J2="","",IFERROR(VLOOKUP(J2,請求管理!A:I,9,FALSE),0))</f>
        <v/>
      </c>
    </row>
    <row r="23" spans="1:7">
      <c r="G23" s="971" t="s">
        <v>1920</v>
      </c>
    </row>
    <row r="24" spans="1:7">
      <c r="G24" s="1022" t="s">
        <v>1921</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28</vt:i4>
      </vt:variant>
    </vt:vector>
  </HeadingPairs>
  <TitlesOfParts>
    <vt:vector size="73"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領収書</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2026-02-11T13:19:12Z</dcterms:modified>
</cp:coreProperties>
</file>